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Qiukam\OneDrive - TÜV Rheinland Service GmbH\Desktop\File\功能安全\13849模板\"/>
    </mc:Choice>
  </mc:AlternateContent>
  <xr:revisionPtr revIDLastSave="0" documentId="13_ncr:1_{AEA84127-F4CB-476D-8C6F-27E1F87A931F}" xr6:coauthVersionLast="47" xr6:coauthVersionMax="47" xr10:uidLastSave="{00000000-0000-0000-0000-000000000000}"/>
  <bookViews>
    <workbookView xWindow="15225" yWindow="-16515" windowWidth="29040" windowHeight="15720" activeTab="4" xr2:uid="{00000000-000D-0000-FFFF-FFFF00000000}"/>
  </bookViews>
  <sheets>
    <sheet name="封面" sheetId="6" r:id="rId1"/>
    <sheet name="修订历史" sheetId="7" r:id="rId2"/>
    <sheet name="OV" sheetId="1" r:id="rId3"/>
    <sheet name="OC" sheetId="5" r:id="rId4"/>
    <sheet name="O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7" i="4" l="1"/>
  <c r="C258" i="5"/>
  <c r="O10" i="1"/>
  <c r="I215" i="1"/>
  <c r="I177" i="4" l="1"/>
  <c r="J177" i="4" s="1"/>
  <c r="K177" i="4" s="1"/>
  <c r="I176" i="4"/>
  <c r="J176" i="4" s="1"/>
  <c r="K176" i="4" s="1"/>
  <c r="I161" i="1"/>
  <c r="J161" i="1" s="1"/>
  <c r="K161" i="1" s="1"/>
  <c r="I160" i="1"/>
  <c r="J160" i="1" s="1"/>
  <c r="K160" i="1" s="1"/>
  <c r="I198" i="5"/>
  <c r="J198" i="5" s="1"/>
  <c r="K198" i="5" s="1"/>
  <c r="I197" i="5"/>
  <c r="J197" i="5" s="1"/>
  <c r="K197" i="5" s="1"/>
  <c r="I199" i="5"/>
  <c r="J199" i="5" s="1"/>
  <c r="K199" i="5" s="1"/>
  <c r="I121" i="4" l="1"/>
  <c r="J121" i="4" s="1"/>
  <c r="K121" i="4" s="1"/>
  <c r="I120" i="4"/>
  <c r="J120" i="4" s="1"/>
  <c r="K120" i="4" s="1"/>
  <c r="I119" i="4"/>
  <c r="J119" i="4" s="1"/>
  <c r="K119" i="4" s="1"/>
  <c r="I118" i="4"/>
  <c r="J118" i="4" s="1"/>
  <c r="K118" i="4" s="1"/>
  <c r="I166" i="4"/>
  <c r="J166" i="4" s="1"/>
  <c r="K166" i="4" s="1"/>
  <c r="I165" i="4"/>
  <c r="J165" i="4" s="1"/>
  <c r="K165" i="4" s="1"/>
  <c r="I164" i="4"/>
  <c r="J164" i="4" s="1"/>
  <c r="K164" i="4" s="1"/>
  <c r="I163" i="4"/>
  <c r="J163" i="4" s="1"/>
  <c r="K163" i="4" s="1"/>
  <c r="I162" i="4"/>
  <c r="J162" i="4" s="1"/>
  <c r="K162" i="4" s="1"/>
  <c r="I161" i="4"/>
  <c r="J161" i="4" s="1"/>
  <c r="K161" i="4" s="1"/>
  <c r="I160" i="4"/>
  <c r="J160" i="4" s="1"/>
  <c r="K160" i="4" s="1"/>
  <c r="I159" i="4"/>
  <c r="J159" i="4" s="1"/>
  <c r="K159" i="4" s="1"/>
  <c r="I158" i="4"/>
  <c r="J158" i="4" s="1"/>
  <c r="K158" i="4" s="1"/>
  <c r="I157" i="4"/>
  <c r="J157" i="4" s="1"/>
  <c r="K157" i="4" s="1"/>
  <c r="I156" i="4"/>
  <c r="J156" i="4" s="1"/>
  <c r="K156" i="4" s="1"/>
  <c r="I155" i="4"/>
  <c r="J155" i="4" s="1"/>
  <c r="K155" i="4" s="1"/>
  <c r="I154" i="4"/>
  <c r="J154" i="4" s="1"/>
  <c r="K154" i="4" s="1"/>
  <c r="I153" i="4"/>
  <c r="J153" i="4" s="1"/>
  <c r="K153" i="4" s="1"/>
  <c r="I152" i="4"/>
  <c r="J152" i="4" s="1"/>
  <c r="K152" i="4" s="1"/>
  <c r="I151" i="4"/>
  <c r="J151" i="4" s="1"/>
  <c r="K151" i="4" s="1"/>
  <c r="I150" i="4"/>
  <c r="J150" i="4" s="1"/>
  <c r="K150" i="4" s="1"/>
  <c r="I149" i="4"/>
  <c r="J149" i="4" s="1"/>
  <c r="K149" i="4" s="1"/>
  <c r="I148" i="4"/>
  <c r="J148" i="4" s="1"/>
  <c r="K148" i="4" s="1"/>
  <c r="I147" i="4"/>
  <c r="J147" i="4" s="1"/>
  <c r="K147" i="4" s="1"/>
  <c r="I146" i="4"/>
  <c r="J146" i="4" s="1"/>
  <c r="K146" i="4" s="1"/>
  <c r="I145" i="4"/>
  <c r="J145" i="4" s="1"/>
  <c r="K145" i="4" s="1"/>
  <c r="I144" i="4"/>
  <c r="J144" i="4" s="1"/>
  <c r="K144" i="4" s="1"/>
  <c r="I143" i="4"/>
  <c r="J143" i="4" s="1"/>
  <c r="K143" i="4" s="1"/>
  <c r="I142" i="4"/>
  <c r="J142" i="4" s="1"/>
  <c r="K142" i="4" s="1"/>
  <c r="I141" i="4"/>
  <c r="J141" i="4" s="1"/>
  <c r="K141" i="4" s="1"/>
  <c r="I140" i="4"/>
  <c r="J140" i="4" s="1"/>
  <c r="K140" i="4" s="1"/>
  <c r="I139" i="4"/>
  <c r="J139" i="4" s="1"/>
  <c r="K139" i="4" s="1"/>
  <c r="I138" i="4"/>
  <c r="J138" i="4" s="1"/>
  <c r="K138" i="4" s="1"/>
  <c r="I137" i="4"/>
  <c r="J137" i="4" s="1"/>
  <c r="K137" i="4" s="1"/>
  <c r="I136" i="4"/>
  <c r="J136" i="4" s="1"/>
  <c r="K136" i="4" s="1"/>
  <c r="I135" i="4"/>
  <c r="J135" i="4" s="1"/>
  <c r="K135" i="4" s="1"/>
  <c r="I191" i="4"/>
  <c r="J191" i="4" s="1"/>
  <c r="K191" i="4" s="1"/>
  <c r="I190" i="4"/>
  <c r="J190" i="4" s="1"/>
  <c r="K190" i="4" s="1"/>
  <c r="I189" i="4"/>
  <c r="J189" i="4" s="1"/>
  <c r="K189" i="4" s="1"/>
  <c r="I188" i="4"/>
  <c r="J188" i="4" s="1"/>
  <c r="K188" i="4" s="1"/>
  <c r="I187" i="4"/>
  <c r="J187" i="4" s="1"/>
  <c r="K187" i="4" s="1"/>
  <c r="I186" i="4"/>
  <c r="J186" i="4" s="1"/>
  <c r="K186" i="4" s="1"/>
  <c r="I185" i="4"/>
  <c r="J185" i="4" s="1"/>
  <c r="K185" i="4" s="1"/>
  <c r="I184" i="4"/>
  <c r="J184" i="4" s="1"/>
  <c r="K184" i="4" s="1"/>
  <c r="I183" i="4"/>
  <c r="J183" i="4" s="1"/>
  <c r="K183" i="4" s="1"/>
  <c r="I182" i="4"/>
  <c r="J182" i="4" s="1"/>
  <c r="K182" i="4" s="1"/>
  <c r="I181" i="4"/>
  <c r="J181" i="4" s="1"/>
  <c r="K181" i="4" s="1"/>
  <c r="I180" i="4"/>
  <c r="J180" i="4" s="1"/>
  <c r="K180" i="4" s="1"/>
  <c r="I179" i="4"/>
  <c r="J179" i="4" s="1"/>
  <c r="K179" i="4" s="1"/>
  <c r="I178" i="4"/>
  <c r="J178" i="4" s="1"/>
  <c r="K178" i="4" s="1"/>
  <c r="I175" i="4"/>
  <c r="J175" i="4" s="1"/>
  <c r="K175" i="4" s="1"/>
  <c r="I174" i="4"/>
  <c r="J174" i="4" s="1"/>
  <c r="K174" i="4" s="1"/>
  <c r="I173" i="4"/>
  <c r="J173" i="4" s="1"/>
  <c r="K173" i="4" s="1"/>
  <c r="I172" i="4"/>
  <c r="J172" i="4" s="1"/>
  <c r="K172" i="4" s="1"/>
  <c r="I171" i="4"/>
  <c r="J171" i="4" s="1"/>
  <c r="K171" i="4" s="1"/>
  <c r="I170" i="4"/>
  <c r="J170" i="4" s="1"/>
  <c r="K170" i="4" s="1"/>
  <c r="I169" i="4"/>
  <c r="J169" i="4" s="1"/>
  <c r="K169" i="4" s="1"/>
  <c r="I168" i="4"/>
  <c r="J168" i="4" s="1"/>
  <c r="K168" i="4" s="1"/>
  <c r="I213" i="4"/>
  <c r="J213" i="4" s="1"/>
  <c r="K213" i="4" s="1"/>
  <c r="I212" i="4"/>
  <c r="J212" i="4" s="1"/>
  <c r="K212" i="4" s="1"/>
  <c r="I211" i="4"/>
  <c r="J211" i="4" s="1"/>
  <c r="K211" i="4" s="1"/>
  <c r="I210" i="4"/>
  <c r="J210" i="4" s="1"/>
  <c r="K210" i="4" s="1"/>
  <c r="I209" i="4"/>
  <c r="J209" i="4" s="1"/>
  <c r="K209" i="4" s="1"/>
  <c r="I208" i="4"/>
  <c r="J208" i="4" s="1"/>
  <c r="K208" i="4" s="1"/>
  <c r="I207" i="4"/>
  <c r="J207" i="4" s="1"/>
  <c r="K207" i="4" s="1"/>
  <c r="I206" i="4"/>
  <c r="J206" i="4" s="1"/>
  <c r="K206" i="4" s="1"/>
  <c r="I205" i="4"/>
  <c r="J205" i="4" s="1"/>
  <c r="K205" i="4" s="1"/>
  <c r="I204" i="4"/>
  <c r="J204" i="4" s="1"/>
  <c r="K204" i="4" s="1"/>
  <c r="I203" i="4"/>
  <c r="J203" i="4" s="1"/>
  <c r="K203" i="4" s="1"/>
  <c r="I202" i="4"/>
  <c r="J202" i="4" s="1"/>
  <c r="K202" i="4" s="1"/>
  <c r="I201" i="4"/>
  <c r="J201" i="4" s="1"/>
  <c r="K201" i="4" s="1"/>
  <c r="I200" i="4"/>
  <c r="J200" i="4" s="1"/>
  <c r="K200" i="4" s="1"/>
  <c r="I199" i="4"/>
  <c r="J199" i="4" s="1"/>
  <c r="K199" i="4" s="1"/>
  <c r="I198" i="4"/>
  <c r="J198" i="4" s="1"/>
  <c r="K198" i="4" s="1"/>
  <c r="I197" i="4"/>
  <c r="J197" i="4" s="1"/>
  <c r="K197" i="4" s="1"/>
  <c r="I196" i="4"/>
  <c r="J196" i="4" s="1"/>
  <c r="K196" i="4" s="1"/>
  <c r="I195" i="4"/>
  <c r="J195" i="4" s="1"/>
  <c r="K195" i="4" s="1"/>
  <c r="I194" i="4"/>
  <c r="J194" i="4" s="1"/>
  <c r="K194" i="4" s="1"/>
  <c r="I193" i="4"/>
  <c r="J193" i="4" s="1"/>
  <c r="K193" i="4" s="1"/>
  <c r="I51" i="4"/>
  <c r="J51" i="4" s="1"/>
  <c r="K51" i="4" s="1"/>
  <c r="I50" i="4"/>
  <c r="J50" i="4" s="1"/>
  <c r="K50" i="4" s="1"/>
  <c r="I49" i="4"/>
  <c r="J49" i="4" s="1"/>
  <c r="K49" i="4" s="1"/>
  <c r="I48" i="4"/>
  <c r="J48" i="4" s="1"/>
  <c r="K48" i="4" s="1"/>
  <c r="I47" i="4"/>
  <c r="J47" i="4" s="1"/>
  <c r="K47" i="4" s="1"/>
  <c r="I46" i="4"/>
  <c r="J46" i="4" s="1"/>
  <c r="K46" i="4" s="1"/>
  <c r="I45" i="4"/>
  <c r="J45" i="4" s="1"/>
  <c r="K45" i="4" s="1"/>
  <c r="I44" i="4"/>
  <c r="J44" i="4" s="1"/>
  <c r="K44" i="4" s="1"/>
  <c r="I43" i="4"/>
  <c r="J43" i="4" s="1"/>
  <c r="K43" i="4" s="1"/>
  <c r="I42" i="4"/>
  <c r="J42" i="4" s="1"/>
  <c r="K42" i="4" s="1"/>
  <c r="L41" i="4"/>
  <c r="N41" i="4" s="1"/>
  <c r="I41" i="4"/>
  <c r="J41" i="4" s="1"/>
  <c r="K41" i="4" s="1"/>
  <c r="I40" i="4"/>
  <c r="J40" i="4" s="1"/>
  <c r="K40" i="4" s="1"/>
  <c r="I39" i="4"/>
  <c r="J39" i="4" s="1"/>
  <c r="K39" i="4" s="1"/>
  <c r="I38" i="4"/>
  <c r="J38" i="4" s="1"/>
  <c r="K38" i="4" s="1"/>
  <c r="I37" i="4"/>
  <c r="J37" i="4" s="1"/>
  <c r="K37" i="4" s="1"/>
  <c r="I36" i="4"/>
  <c r="J36" i="4" s="1"/>
  <c r="K36" i="4" s="1"/>
  <c r="I35" i="4"/>
  <c r="J35" i="4" s="1"/>
  <c r="K35" i="4" s="1"/>
  <c r="I34" i="4"/>
  <c r="J34" i="4" s="1"/>
  <c r="K34" i="4" s="1"/>
  <c r="I33" i="4"/>
  <c r="J33" i="4" s="1"/>
  <c r="K33" i="4" s="1"/>
  <c r="I32" i="4"/>
  <c r="J32" i="4" s="1"/>
  <c r="K32" i="4" s="1"/>
  <c r="I31" i="4"/>
  <c r="J31" i="4" s="1"/>
  <c r="K31" i="4" s="1"/>
  <c r="I30" i="4"/>
  <c r="J30" i="4" s="1"/>
  <c r="K30" i="4" s="1"/>
  <c r="I29" i="4"/>
  <c r="J29" i="4" s="1"/>
  <c r="K29" i="4" s="1"/>
  <c r="I28" i="4"/>
  <c r="J28" i="4" s="1"/>
  <c r="K28" i="4" s="1"/>
  <c r="I27" i="4"/>
  <c r="J27" i="4" s="1"/>
  <c r="K27" i="4" s="1"/>
  <c r="I26" i="4"/>
  <c r="J26" i="4" s="1"/>
  <c r="K26" i="4" s="1"/>
  <c r="I25" i="4"/>
  <c r="J25" i="4" s="1"/>
  <c r="K25" i="4" s="1"/>
  <c r="I24" i="4"/>
  <c r="J24" i="4" s="1"/>
  <c r="K24" i="4" s="1"/>
  <c r="I23" i="4"/>
  <c r="J23" i="4" s="1"/>
  <c r="K23" i="4" s="1"/>
  <c r="I22" i="4"/>
  <c r="J22" i="4" s="1"/>
  <c r="K22" i="4" s="1"/>
  <c r="I21" i="4"/>
  <c r="J21" i="4" s="1"/>
  <c r="K21" i="4" s="1"/>
  <c r="I20" i="4"/>
  <c r="J20" i="4" s="1"/>
  <c r="K20" i="4" s="1"/>
  <c r="I19" i="4"/>
  <c r="J19" i="4" s="1"/>
  <c r="K19" i="4" s="1"/>
  <c r="I18" i="4"/>
  <c r="J18" i="4" s="1"/>
  <c r="K18" i="4" s="1"/>
  <c r="I17" i="4"/>
  <c r="J17" i="4" s="1"/>
  <c r="K17" i="4" s="1"/>
  <c r="I16" i="4"/>
  <c r="J16" i="4" s="1"/>
  <c r="K16" i="4" s="1"/>
  <c r="I15" i="4"/>
  <c r="J15" i="4" s="1"/>
  <c r="K15" i="4" s="1"/>
  <c r="I14" i="4"/>
  <c r="J14" i="4" s="1"/>
  <c r="K14" i="4" s="1"/>
  <c r="I13" i="4"/>
  <c r="J13" i="4" s="1"/>
  <c r="K13" i="4" s="1"/>
  <c r="I12" i="4"/>
  <c r="J12" i="4" s="1"/>
  <c r="K12" i="4" s="1"/>
  <c r="I11" i="4"/>
  <c r="J11" i="4" s="1"/>
  <c r="K11" i="4" s="1"/>
  <c r="I110" i="4"/>
  <c r="J110" i="4" s="1"/>
  <c r="K110" i="4" s="1"/>
  <c r="I109" i="4"/>
  <c r="J109" i="4" s="1"/>
  <c r="K109" i="4" s="1"/>
  <c r="I108" i="4"/>
  <c r="J108" i="4" s="1"/>
  <c r="K108" i="4" s="1"/>
  <c r="I107" i="4"/>
  <c r="J107" i="4" s="1"/>
  <c r="K107" i="4" s="1"/>
  <c r="I106" i="4"/>
  <c r="J106" i="4" s="1"/>
  <c r="K106" i="4" s="1"/>
  <c r="I105" i="4"/>
  <c r="J105" i="4" s="1"/>
  <c r="K105" i="4" s="1"/>
  <c r="I104" i="4"/>
  <c r="J104" i="4" s="1"/>
  <c r="K104" i="4" s="1"/>
  <c r="I103" i="4"/>
  <c r="J103" i="4" s="1"/>
  <c r="K103" i="4" s="1"/>
  <c r="I102" i="4"/>
  <c r="J102" i="4" s="1"/>
  <c r="K102" i="4" s="1"/>
  <c r="I101" i="4"/>
  <c r="J101" i="4" s="1"/>
  <c r="K101" i="4" s="1"/>
  <c r="I100" i="4"/>
  <c r="J100" i="4" s="1"/>
  <c r="K100" i="4" s="1"/>
  <c r="I99" i="4"/>
  <c r="J99" i="4" s="1"/>
  <c r="K99" i="4" s="1"/>
  <c r="I98" i="4"/>
  <c r="J98" i="4" s="1"/>
  <c r="K98" i="4" s="1"/>
  <c r="I97" i="4"/>
  <c r="J97" i="4" s="1"/>
  <c r="K97" i="4" s="1"/>
  <c r="I96" i="4"/>
  <c r="J96" i="4" s="1"/>
  <c r="K96" i="4" s="1"/>
  <c r="I95" i="4"/>
  <c r="J95" i="4" s="1"/>
  <c r="K95" i="4" s="1"/>
  <c r="I94" i="4"/>
  <c r="J94" i="4" s="1"/>
  <c r="K94" i="4" s="1"/>
  <c r="I93" i="4"/>
  <c r="J93" i="4" s="1"/>
  <c r="K93" i="4" s="1"/>
  <c r="I92" i="4"/>
  <c r="J92" i="4" s="1"/>
  <c r="K92" i="4" s="1"/>
  <c r="I91" i="4"/>
  <c r="J91" i="4" s="1"/>
  <c r="K91" i="4" s="1"/>
  <c r="I90" i="4"/>
  <c r="J90" i="4" s="1"/>
  <c r="K90" i="4" s="1"/>
  <c r="I89" i="4"/>
  <c r="J89" i="4" s="1"/>
  <c r="K89" i="4" s="1"/>
  <c r="I88" i="4"/>
  <c r="J88" i="4" s="1"/>
  <c r="K88" i="4" s="1"/>
  <c r="I87" i="4"/>
  <c r="J87" i="4" s="1"/>
  <c r="K87" i="4" s="1"/>
  <c r="I86" i="4"/>
  <c r="J86" i="4" s="1"/>
  <c r="K86" i="4" s="1"/>
  <c r="I85" i="4"/>
  <c r="J85" i="4" s="1"/>
  <c r="K85" i="4" s="1"/>
  <c r="I84" i="4"/>
  <c r="J84" i="4" s="1"/>
  <c r="K84" i="4" s="1"/>
  <c r="I83" i="4"/>
  <c r="J83" i="4" s="1"/>
  <c r="K83" i="4" s="1"/>
  <c r="I82" i="4"/>
  <c r="J82" i="4" s="1"/>
  <c r="K82" i="4" s="1"/>
  <c r="I81" i="4"/>
  <c r="J81" i="4" s="1"/>
  <c r="K81" i="4" s="1"/>
  <c r="I80" i="4"/>
  <c r="J80" i="4" s="1"/>
  <c r="K80" i="4" s="1"/>
  <c r="I79" i="4"/>
  <c r="J79" i="4" s="1"/>
  <c r="K79" i="4" s="1"/>
  <c r="I78" i="4"/>
  <c r="J78" i="4" s="1"/>
  <c r="K78" i="4" s="1"/>
  <c r="I77" i="4"/>
  <c r="J77" i="4" s="1"/>
  <c r="K77" i="4" s="1"/>
  <c r="I76" i="4"/>
  <c r="J76" i="4" s="1"/>
  <c r="K76" i="4" s="1"/>
  <c r="I75" i="4"/>
  <c r="J75" i="4" s="1"/>
  <c r="K75" i="4" s="1"/>
  <c r="I74" i="4"/>
  <c r="J74" i="4" s="1"/>
  <c r="K74" i="4" s="1"/>
  <c r="I73" i="4"/>
  <c r="J73" i="4" s="1"/>
  <c r="K73" i="4" s="1"/>
  <c r="I72" i="4"/>
  <c r="J72" i="4" s="1"/>
  <c r="K72" i="4" s="1"/>
  <c r="I71" i="4"/>
  <c r="J71" i="4" s="1"/>
  <c r="K71" i="4" s="1"/>
  <c r="I70" i="4"/>
  <c r="J70" i="4" s="1"/>
  <c r="K70" i="4" s="1"/>
  <c r="I69" i="4"/>
  <c r="J69" i="4" s="1"/>
  <c r="K69" i="4" s="1"/>
  <c r="I68" i="4"/>
  <c r="J68" i="4" s="1"/>
  <c r="K68" i="4" s="1"/>
  <c r="I67" i="4"/>
  <c r="J67" i="4" s="1"/>
  <c r="K67" i="4" s="1"/>
  <c r="I66" i="4"/>
  <c r="J66" i="4" s="1"/>
  <c r="K66" i="4" s="1"/>
  <c r="I65" i="4"/>
  <c r="J65" i="4" s="1"/>
  <c r="K65" i="4" s="1"/>
  <c r="I64" i="4"/>
  <c r="J64" i="4" s="1"/>
  <c r="K64" i="4" s="1"/>
  <c r="I63" i="4"/>
  <c r="J63" i="4" s="1"/>
  <c r="K63" i="4" s="1"/>
  <c r="I62" i="4"/>
  <c r="J62" i="4" s="1"/>
  <c r="K62" i="4" s="1"/>
  <c r="I61" i="4"/>
  <c r="J61" i="4" s="1"/>
  <c r="K61" i="4" s="1"/>
  <c r="I60" i="4"/>
  <c r="J60" i="4" s="1"/>
  <c r="K60" i="4" s="1"/>
  <c r="I59" i="4"/>
  <c r="J59" i="4" s="1"/>
  <c r="K59" i="4" s="1"/>
  <c r="I58" i="4"/>
  <c r="J58" i="4" s="1"/>
  <c r="K58" i="4" s="1"/>
  <c r="I57" i="4"/>
  <c r="J57" i="4" s="1"/>
  <c r="K57" i="4" s="1"/>
  <c r="I56" i="4"/>
  <c r="J56" i="4" s="1"/>
  <c r="K56" i="4" s="1"/>
  <c r="I55" i="4"/>
  <c r="J55" i="4" s="1"/>
  <c r="K55" i="4" s="1"/>
  <c r="I187" i="5"/>
  <c r="J187" i="5" s="1"/>
  <c r="K187" i="5" s="1"/>
  <c r="I186" i="5"/>
  <c r="J186" i="5" s="1"/>
  <c r="K186" i="5" s="1"/>
  <c r="I185" i="5"/>
  <c r="J185" i="5" s="1"/>
  <c r="K185" i="5" s="1"/>
  <c r="I184" i="5"/>
  <c r="J184" i="5" s="1"/>
  <c r="K184" i="5" s="1"/>
  <c r="I181" i="5"/>
  <c r="J181" i="5" s="1"/>
  <c r="K181" i="5" s="1"/>
  <c r="I180" i="5"/>
  <c r="J180" i="5" s="1"/>
  <c r="K180" i="5" s="1"/>
  <c r="I171" i="5"/>
  <c r="J171" i="5" s="1"/>
  <c r="K171" i="5" s="1"/>
  <c r="I170" i="5"/>
  <c r="J170" i="5" s="1"/>
  <c r="K170" i="5" s="1"/>
  <c r="I169" i="5"/>
  <c r="J169" i="5" s="1"/>
  <c r="K169" i="5" s="1"/>
  <c r="I168" i="5"/>
  <c r="J168" i="5" s="1"/>
  <c r="K168" i="5" s="1"/>
  <c r="I167" i="5"/>
  <c r="J167" i="5" s="1"/>
  <c r="K167" i="5" s="1"/>
  <c r="I166" i="5"/>
  <c r="J166" i="5" s="1"/>
  <c r="K166" i="5" s="1"/>
  <c r="I165" i="5"/>
  <c r="J165" i="5" s="1"/>
  <c r="K165" i="5" s="1"/>
  <c r="I164" i="5"/>
  <c r="J164" i="5" s="1"/>
  <c r="K164" i="5" s="1"/>
  <c r="I161" i="5"/>
  <c r="J161" i="5" s="1"/>
  <c r="K161" i="5" s="1"/>
  <c r="I160" i="5"/>
  <c r="J160" i="5" s="1"/>
  <c r="K160" i="5" s="1"/>
  <c r="I163" i="5"/>
  <c r="J163" i="5" s="1"/>
  <c r="K163" i="5" s="1"/>
  <c r="I162" i="5"/>
  <c r="J162" i="5" s="1"/>
  <c r="K162" i="5" s="1"/>
  <c r="I9" i="5"/>
  <c r="J9" i="5" s="1"/>
  <c r="K9" i="5" s="1"/>
  <c r="I8" i="5"/>
  <c r="J8" i="5" s="1"/>
  <c r="K8" i="5" s="1"/>
  <c r="I11" i="5"/>
  <c r="J11" i="5" s="1"/>
  <c r="K11" i="5" s="1"/>
  <c r="I10" i="5"/>
  <c r="J10" i="5" s="1"/>
  <c r="K10" i="5" s="1"/>
  <c r="I57" i="5"/>
  <c r="J57" i="5" s="1"/>
  <c r="K57" i="5" s="1"/>
  <c r="I56" i="5"/>
  <c r="J56" i="5" s="1"/>
  <c r="K56" i="5" s="1"/>
  <c r="I55" i="5"/>
  <c r="J55" i="5" s="1"/>
  <c r="K55" i="5" s="1"/>
  <c r="I54" i="5"/>
  <c r="J54" i="5" s="1"/>
  <c r="K54" i="5" s="1"/>
  <c r="I53" i="5"/>
  <c r="J53" i="5" s="1"/>
  <c r="K53" i="5" s="1"/>
  <c r="I52" i="5"/>
  <c r="J52" i="5" s="1"/>
  <c r="K52" i="5" s="1"/>
  <c r="I51" i="5"/>
  <c r="J51" i="5" s="1"/>
  <c r="K51" i="5" s="1"/>
  <c r="I50" i="5"/>
  <c r="J50" i="5" s="1"/>
  <c r="K50" i="5" s="1"/>
  <c r="I49" i="5"/>
  <c r="J49" i="5" s="1"/>
  <c r="K49" i="5" s="1"/>
  <c r="I48" i="5"/>
  <c r="J48" i="5" s="1"/>
  <c r="K48" i="5" s="1"/>
  <c r="I47" i="5"/>
  <c r="J47" i="5" s="1"/>
  <c r="K47" i="5" s="1"/>
  <c r="I46" i="5"/>
  <c r="J46" i="5" s="1"/>
  <c r="K46" i="5" s="1"/>
  <c r="I45" i="5"/>
  <c r="J45" i="5" s="1"/>
  <c r="K45" i="5" s="1"/>
  <c r="I44" i="5"/>
  <c r="J44" i="5" s="1"/>
  <c r="K44" i="5" s="1"/>
  <c r="I43" i="5"/>
  <c r="J43" i="5" s="1"/>
  <c r="K43" i="5" s="1"/>
  <c r="I42" i="5"/>
  <c r="J42" i="5" s="1"/>
  <c r="K42" i="5" s="1"/>
  <c r="I41" i="5"/>
  <c r="J41" i="5" s="1"/>
  <c r="K41" i="5" s="1"/>
  <c r="I40" i="5"/>
  <c r="J40" i="5" s="1"/>
  <c r="K40" i="5" s="1"/>
  <c r="I39" i="5"/>
  <c r="J39" i="5" s="1"/>
  <c r="K39" i="5" s="1"/>
  <c r="I38" i="5"/>
  <c r="J38" i="5" s="1"/>
  <c r="K38" i="5" s="1"/>
  <c r="I37" i="5"/>
  <c r="J37" i="5" s="1"/>
  <c r="K37" i="5" s="1"/>
  <c r="I36" i="5"/>
  <c r="J36" i="5" s="1"/>
  <c r="K36" i="5" s="1"/>
  <c r="I35" i="5"/>
  <c r="J35" i="5" s="1"/>
  <c r="K35" i="5" s="1"/>
  <c r="I34" i="5"/>
  <c r="J34" i="5" s="1"/>
  <c r="K34" i="5" s="1"/>
  <c r="I33" i="5"/>
  <c r="J33" i="5" s="1"/>
  <c r="K33" i="5" s="1"/>
  <c r="I32" i="5"/>
  <c r="J32" i="5" s="1"/>
  <c r="K32" i="5" s="1"/>
  <c r="I31" i="5"/>
  <c r="J31" i="5" s="1"/>
  <c r="K31" i="5" s="1"/>
  <c r="I30" i="5"/>
  <c r="J30" i="5" s="1"/>
  <c r="K30" i="5" s="1"/>
  <c r="I29" i="5"/>
  <c r="J29" i="5" s="1"/>
  <c r="K29" i="5" s="1"/>
  <c r="I28" i="5"/>
  <c r="J28" i="5" s="1"/>
  <c r="K28" i="5" s="1"/>
  <c r="I27" i="5"/>
  <c r="J27" i="5" s="1"/>
  <c r="K27" i="5" s="1"/>
  <c r="I26" i="5"/>
  <c r="J26" i="5" s="1"/>
  <c r="K26" i="5" s="1"/>
  <c r="I25" i="5"/>
  <c r="J25" i="5" s="1"/>
  <c r="K25" i="5" s="1"/>
  <c r="I24" i="5"/>
  <c r="J24" i="5" s="1"/>
  <c r="K24" i="5" s="1"/>
  <c r="I23" i="5"/>
  <c r="J23" i="5" s="1"/>
  <c r="K23" i="5" s="1"/>
  <c r="I22" i="5"/>
  <c r="J22" i="5" s="1"/>
  <c r="K22" i="5" s="1"/>
  <c r="I21" i="5"/>
  <c r="J21" i="5" s="1"/>
  <c r="K21" i="5" s="1"/>
  <c r="I20" i="5"/>
  <c r="J20" i="5" s="1"/>
  <c r="K20" i="5" s="1"/>
  <c r="I19" i="5"/>
  <c r="J19" i="5" s="1"/>
  <c r="K19" i="5" s="1"/>
  <c r="I18" i="5"/>
  <c r="J18" i="5" s="1"/>
  <c r="K18" i="5" s="1"/>
  <c r="I17" i="5"/>
  <c r="J17" i="5" s="1"/>
  <c r="K17" i="5" s="1"/>
  <c r="I119" i="5"/>
  <c r="J119" i="5" s="1"/>
  <c r="K119" i="5" s="1"/>
  <c r="I118" i="5"/>
  <c r="J118" i="5" s="1"/>
  <c r="K118" i="5" s="1"/>
  <c r="I117" i="5"/>
  <c r="J117" i="5" s="1"/>
  <c r="K117" i="5" s="1"/>
  <c r="I116" i="5"/>
  <c r="J116" i="5" s="1"/>
  <c r="K116" i="5" s="1"/>
  <c r="I115" i="5"/>
  <c r="J115" i="5" s="1"/>
  <c r="K115" i="5" s="1"/>
  <c r="I114" i="5"/>
  <c r="J114" i="5" s="1"/>
  <c r="K114" i="5" s="1"/>
  <c r="I113" i="5"/>
  <c r="J113" i="5" s="1"/>
  <c r="K113" i="5" s="1"/>
  <c r="I112" i="5"/>
  <c r="J112" i="5" s="1"/>
  <c r="K112" i="5" s="1"/>
  <c r="I111" i="5"/>
  <c r="J111" i="5" s="1"/>
  <c r="K111" i="5" s="1"/>
  <c r="I110" i="5"/>
  <c r="J110" i="5" s="1"/>
  <c r="K110" i="5" s="1"/>
  <c r="I109" i="5"/>
  <c r="J109" i="5" s="1"/>
  <c r="K109" i="5" s="1"/>
  <c r="I108" i="5"/>
  <c r="J108" i="5" s="1"/>
  <c r="K108" i="5" s="1"/>
  <c r="I107" i="5"/>
  <c r="J107" i="5" s="1"/>
  <c r="K107" i="5" s="1"/>
  <c r="I106" i="5"/>
  <c r="J106" i="5" s="1"/>
  <c r="K106" i="5" s="1"/>
  <c r="I105" i="5"/>
  <c r="J105" i="5" s="1"/>
  <c r="K105" i="5" s="1"/>
  <c r="I104" i="5"/>
  <c r="J104" i="5" s="1"/>
  <c r="K104" i="5" s="1"/>
  <c r="I103" i="5"/>
  <c r="J103" i="5" s="1"/>
  <c r="K103" i="5" s="1"/>
  <c r="I102" i="5"/>
  <c r="J102" i="5" s="1"/>
  <c r="K102" i="5" s="1"/>
  <c r="I101" i="5"/>
  <c r="J101" i="5" s="1"/>
  <c r="K101" i="5" s="1"/>
  <c r="I100" i="5"/>
  <c r="J100" i="5" s="1"/>
  <c r="K100" i="5" s="1"/>
  <c r="I99" i="5"/>
  <c r="J99" i="5" s="1"/>
  <c r="K99" i="5" s="1"/>
  <c r="I98" i="5"/>
  <c r="J98" i="5" s="1"/>
  <c r="K98" i="5" s="1"/>
  <c r="I97" i="5"/>
  <c r="J97" i="5" s="1"/>
  <c r="K97" i="5" s="1"/>
  <c r="I96" i="5"/>
  <c r="J96" i="5" s="1"/>
  <c r="K96" i="5" s="1"/>
  <c r="I95" i="5"/>
  <c r="J95" i="5" s="1"/>
  <c r="K95" i="5" s="1"/>
  <c r="I94" i="5"/>
  <c r="J94" i="5" s="1"/>
  <c r="K94" i="5" s="1"/>
  <c r="I93" i="5"/>
  <c r="J93" i="5" s="1"/>
  <c r="K93" i="5" s="1"/>
  <c r="I92" i="5"/>
  <c r="J92" i="5" s="1"/>
  <c r="K92" i="5" s="1"/>
  <c r="I91" i="5"/>
  <c r="J91" i="5" s="1"/>
  <c r="K91" i="5" s="1"/>
  <c r="I90" i="5"/>
  <c r="J90" i="5" s="1"/>
  <c r="K90" i="5" s="1"/>
  <c r="I89" i="5"/>
  <c r="J89" i="5" s="1"/>
  <c r="K89" i="5" s="1"/>
  <c r="I88" i="5"/>
  <c r="J88" i="5" s="1"/>
  <c r="K88" i="5" s="1"/>
  <c r="I87" i="5"/>
  <c r="J87" i="5" s="1"/>
  <c r="K87" i="5" s="1"/>
  <c r="I86" i="5"/>
  <c r="J86" i="5" s="1"/>
  <c r="K86" i="5" s="1"/>
  <c r="I85" i="5"/>
  <c r="J85" i="5" s="1"/>
  <c r="K85" i="5" s="1"/>
  <c r="I84" i="5"/>
  <c r="J84" i="5" s="1"/>
  <c r="K84" i="5" s="1"/>
  <c r="I83" i="5"/>
  <c r="J83" i="5" s="1"/>
  <c r="K83" i="5" s="1"/>
  <c r="I82" i="5"/>
  <c r="J82" i="5" s="1"/>
  <c r="K82" i="5" s="1"/>
  <c r="I81" i="5"/>
  <c r="J81" i="5" s="1"/>
  <c r="K81" i="5" s="1"/>
  <c r="I80" i="5"/>
  <c r="J80" i="5" s="1"/>
  <c r="K80" i="5" s="1"/>
  <c r="I79" i="5"/>
  <c r="J79" i="5" s="1"/>
  <c r="K79" i="5" s="1"/>
  <c r="I78" i="5"/>
  <c r="J78" i="5" s="1"/>
  <c r="K78" i="5" s="1"/>
  <c r="I77" i="5"/>
  <c r="J77" i="5" s="1"/>
  <c r="K77" i="5" s="1"/>
  <c r="I76" i="5"/>
  <c r="J76" i="5" s="1"/>
  <c r="K76" i="5" s="1"/>
  <c r="I75" i="5"/>
  <c r="J75" i="5" s="1"/>
  <c r="K75" i="5" s="1"/>
  <c r="I74" i="5"/>
  <c r="J74" i="5" s="1"/>
  <c r="K74" i="5" s="1"/>
  <c r="I73" i="5"/>
  <c r="J73" i="5" s="1"/>
  <c r="K73" i="5" s="1"/>
  <c r="I72" i="5"/>
  <c r="J72" i="5" s="1"/>
  <c r="K72" i="5" s="1"/>
  <c r="I71" i="5"/>
  <c r="J71" i="5" s="1"/>
  <c r="K71" i="5" s="1"/>
  <c r="I70" i="5"/>
  <c r="J70" i="5" s="1"/>
  <c r="K70" i="5" s="1"/>
  <c r="I69" i="5"/>
  <c r="J69" i="5" s="1"/>
  <c r="K69" i="5" s="1"/>
  <c r="I68" i="5"/>
  <c r="J68" i="5" s="1"/>
  <c r="K68" i="5" s="1"/>
  <c r="I67" i="5"/>
  <c r="J67" i="5" s="1"/>
  <c r="K67" i="5" s="1"/>
  <c r="I66" i="5"/>
  <c r="J66" i="5" s="1"/>
  <c r="K66" i="5" s="1"/>
  <c r="I65" i="5"/>
  <c r="J65" i="5" s="1"/>
  <c r="K65" i="5" s="1"/>
  <c r="I64" i="5"/>
  <c r="J64" i="5" s="1"/>
  <c r="K64" i="5" s="1"/>
  <c r="I63" i="5"/>
  <c r="J63" i="5" s="1"/>
  <c r="K63" i="5" s="1"/>
  <c r="I62" i="5"/>
  <c r="J62" i="5" s="1"/>
  <c r="K62" i="5" s="1"/>
  <c r="I61" i="5"/>
  <c r="J61" i="5" s="1"/>
  <c r="K61" i="5" s="1"/>
  <c r="I154" i="5"/>
  <c r="J154" i="5" s="1"/>
  <c r="K154" i="5" s="1"/>
  <c r="I153" i="5"/>
  <c r="J153" i="5" s="1"/>
  <c r="K153" i="5" s="1"/>
  <c r="I152" i="5"/>
  <c r="J152" i="5" s="1"/>
  <c r="K152" i="5" s="1"/>
  <c r="I151" i="5"/>
  <c r="J151" i="5" s="1"/>
  <c r="K151" i="5" s="1"/>
  <c r="I150" i="5"/>
  <c r="J150" i="5" s="1"/>
  <c r="K150" i="5" s="1"/>
  <c r="I149" i="5"/>
  <c r="J149" i="5" s="1"/>
  <c r="K149" i="5" s="1"/>
  <c r="I148" i="5"/>
  <c r="J148" i="5" s="1"/>
  <c r="K148" i="5" s="1"/>
  <c r="I147" i="5"/>
  <c r="J147" i="5" s="1"/>
  <c r="K147" i="5" s="1"/>
  <c r="I146" i="5"/>
  <c r="J146" i="5" s="1"/>
  <c r="K146" i="5" s="1"/>
  <c r="I145" i="5"/>
  <c r="J145" i="5" s="1"/>
  <c r="K145" i="5" s="1"/>
  <c r="I144" i="5"/>
  <c r="J144" i="5" s="1"/>
  <c r="K144" i="5" s="1"/>
  <c r="I143" i="5"/>
  <c r="J143" i="5" s="1"/>
  <c r="K143" i="5" s="1"/>
  <c r="I142" i="5"/>
  <c r="J142" i="5" s="1"/>
  <c r="K142" i="5" s="1"/>
  <c r="I141" i="5"/>
  <c r="J141" i="5" s="1"/>
  <c r="K141" i="5" s="1"/>
  <c r="I140" i="5"/>
  <c r="J140" i="5" s="1"/>
  <c r="K140" i="5" s="1"/>
  <c r="I139" i="5"/>
  <c r="J139" i="5" s="1"/>
  <c r="K139" i="5" s="1"/>
  <c r="I138" i="5"/>
  <c r="J138" i="5" s="1"/>
  <c r="K138" i="5" s="1"/>
  <c r="I137" i="5"/>
  <c r="J137" i="5" s="1"/>
  <c r="K137" i="5" s="1"/>
  <c r="I136" i="5"/>
  <c r="J136" i="5" s="1"/>
  <c r="K136" i="5" s="1"/>
  <c r="I135" i="5"/>
  <c r="J135" i="5" s="1"/>
  <c r="K135" i="5" s="1"/>
  <c r="I134" i="5"/>
  <c r="J134" i="5" s="1"/>
  <c r="K134" i="5" s="1"/>
  <c r="I133" i="5"/>
  <c r="J133" i="5" s="1"/>
  <c r="K133" i="5" s="1"/>
  <c r="I132" i="5"/>
  <c r="J132" i="5" s="1"/>
  <c r="K132" i="5" s="1"/>
  <c r="I131" i="5"/>
  <c r="J131" i="5" s="1"/>
  <c r="K131" i="5" s="1"/>
  <c r="I130" i="5"/>
  <c r="J130" i="5" s="1"/>
  <c r="K130" i="5" s="1"/>
  <c r="I129" i="5"/>
  <c r="J129" i="5" s="1"/>
  <c r="K129" i="5" s="1"/>
  <c r="I128" i="5"/>
  <c r="J128" i="5" s="1"/>
  <c r="K128" i="5" s="1"/>
  <c r="I127" i="5"/>
  <c r="J127" i="5" s="1"/>
  <c r="K127" i="5" s="1"/>
  <c r="I126" i="5"/>
  <c r="J126" i="5" s="1"/>
  <c r="K126" i="5" s="1"/>
  <c r="I125" i="5"/>
  <c r="J125" i="5" s="1"/>
  <c r="K125" i="5" s="1"/>
  <c r="I124" i="5"/>
  <c r="J124" i="5" s="1"/>
  <c r="K124" i="5" s="1"/>
  <c r="I123" i="5"/>
  <c r="J123" i="5" s="1"/>
  <c r="K123" i="5" s="1"/>
  <c r="I212" i="5"/>
  <c r="J212" i="5" s="1"/>
  <c r="K212" i="5" s="1"/>
  <c r="I211" i="5"/>
  <c r="J211" i="5" s="1"/>
  <c r="K211" i="5" s="1"/>
  <c r="I210" i="5"/>
  <c r="J210" i="5" s="1"/>
  <c r="K210" i="5" s="1"/>
  <c r="I209" i="5"/>
  <c r="J209" i="5" s="1"/>
  <c r="K209" i="5" s="1"/>
  <c r="I208" i="5"/>
  <c r="J208" i="5" s="1"/>
  <c r="K208" i="5" s="1"/>
  <c r="I207" i="5"/>
  <c r="J207" i="5" s="1"/>
  <c r="K207" i="5" s="1"/>
  <c r="I206" i="5"/>
  <c r="J206" i="5" s="1"/>
  <c r="K206" i="5" s="1"/>
  <c r="I205" i="5"/>
  <c r="J205" i="5" s="1"/>
  <c r="K205" i="5" s="1"/>
  <c r="I204" i="5"/>
  <c r="J204" i="5" s="1"/>
  <c r="K204" i="5" s="1"/>
  <c r="I203" i="5"/>
  <c r="J203" i="5" s="1"/>
  <c r="K203" i="5" s="1"/>
  <c r="I202" i="5"/>
  <c r="J202" i="5" s="1"/>
  <c r="K202" i="5" s="1"/>
  <c r="I201" i="5"/>
  <c r="J201" i="5" s="1"/>
  <c r="K201" i="5" s="1"/>
  <c r="I200" i="5"/>
  <c r="J200" i="5" s="1"/>
  <c r="K200" i="5" s="1"/>
  <c r="I196" i="5"/>
  <c r="J196" i="5" s="1"/>
  <c r="K196" i="5" s="1"/>
  <c r="I195" i="5"/>
  <c r="J195" i="5" s="1"/>
  <c r="K195" i="5" s="1"/>
  <c r="I194" i="5"/>
  <c r="J194" i="5" s="1"/>
  <c r="K194" i="5" s="1"/>
  <c r="I193" i="5"/>
  <c r="J193" i="5" s="1"/>
  <c r="K193" i="5" s="1"/>
  <c r="I192" i="5"/>
  <c r="J192" i="5" s="1"/>
  <c r="K192" i="5" s="1"/>
  <c r="I191" i="5"/>
  <c r="J191" i="5" s="1"/>
  <c r="K191" i="5" s="1"/>
  <c r="I231" i="5"/>
  <c r="J231" i="5" s="1"/>
  <c r="K231" i="5" s="1"/>
  <c r="I230" i="5"/>
  <c r="J230" i="5" s="1"/>
  <c r="K230" i="5" s="1"/>
  <c r="I229" i="5"/>
  <c r="J229" i="5" s="1"/>
  <c r="K229" i="5" s="1"/>
  <c r="I228" i="5"/>
  <c r="J228" i="5" s="1"/>
  <c r="K228" i="5" s="1"/>
  <c r="L157" i="1"/>
  <c r="M157" i="1" s="1"/>
  <c r="I157" i="1"/>
  <c r="J157" i="1" s="1"/>
  <c r="K157" i="1" s="1"/>
  <c r="L156" i="1"/>
  <c r="M156" i="1" s="1"/>
  <c r="I156" i="1"/>
  <c r="J156" i="1" s="1"/>
  <c r="K156" i="1" s="1"/>
  <c r="L190" i="1"/>
  <c r="M190" i="1" s="1"/>
  <c r="I190" i="1"/>
  <c r="J190" i="1" s="1"/>
  <c r="K190" i="1" s="1"/>
  <c r="L189" i="1"/>
  <c r="M189" i="1" s="1"/>
  <c r="I189" i="1"/>
  <c r="J189" i="1" s="1"/>
  <c r="K189" i="1" s="1"/>
  <c r="L186" i="1"/>
  <c r="M186" i="1" s="1"/>
  <c r="I186" i="1"/>
  <c r="J186" i="1" s="1"/>
  <c r="K186" i="1" s="1"/>
  <c r="L185" i="1"/>
  <c r="M185" i="1" s="1"/>
  <c r="I185" i="1"/>
  <c r="J185" i="1" s="1"/>
  <c r="K185" i="1" s="1"/>
  <c r="I150" i="1"/>
  <c r="J150" i="1" s="1"/>
  <c r="K150" i="1" s="1"/>
  <c r="L168" i="1"/>
  <c r="M168" i="1" s="1"/>
  <c r="I168" i="1"/>
  <c r="J168" i="1" s="1"/>
  <c r="K168" i="1" s="1"/>
  <c r="L171" i="1"/>
  <c r="M171" i="1" s="1"/>
  <c r="I171" i="1"/>
  <c r="J171" i="1" s="1"/>
  <c r="K171" i="1" s="1"/>
  <c r="L170" i="1"/>
  <c r="M170" i="1" s="1"/>
  <c r="I170" i="1"/>
  <c r="J170" i="1" s="1"/>
  <c r="K170" i="1" s="1"/>
  <c r="L167" i="1"/>
  <c r="M167" i="1" s="1"/>
  <c r="I167" i="1"/>
  <c r="J167" i="1" s="1"/>
  <c r="K167" i="1" s="1"/>
  <c r="L166" i="1"/>
  <c r="M166" i="1" s="1"/>
  <c r="I166" i="1"/>
  <c r="J166" i="1" s="1"/>
  <c r="K166" i="1" s="1"/>
  <c r="K58" i="5" l="1"/>
  <c r="L58" i="5" s="1"/>
  <c r="N58" i="5" s="1"/>
  <c r="I130" i="1"/>
  <c r="J130" i="1" s="1"/>
  <c r="K130" i="1" s="1"/>
  <c r="I129" i="1"/>
  <c r="J129" i="1" s="1"/>
  <c r="K129" i="1" s="1"/>
  <c r="L106" i="1"/>
  <c r="M106" i="1" s="1"/>
  <c r="I106" i="1"/>
  <c r="J106" i="1" s="1"/>
  <c r="K106" i="1" s="1"/>
  <c r="L105" i="1"/>
  <c r="M105" i="1" s="1"/>
  <c r="I105" i="1"/>
  <c r="J105" i="1" s="1"/>
  <c r="K105" i="1" s="1"/>
  <c r="L115" i="1"/>
  <c r="M115" i="1" s="1"/>
  <c r="I115" i="1"/>
  <c r="J115" i="1" s="1"/>
  <c r="K115" i="1" s="1"/>
  <c r="L114" i="1"/>
  <c r="M114" i="1" s="1"/>
  <c r="I114" i="1"/>
  <c r="J114" i="1" s="1"/>
  <c r="K114" i="1" s="1"/>
  <c r="L104" i="1"/>
  <c r="M104" i="1" s="1"/>
  <c r="I104" i="1"/>
  <c r="J104" i="1" s="1"/>
  <c r="K104" i="1" s="1"/>
  <c r="L103" i="1"/>
  <c r="M103" i="1" s="1"/>
  <c r="I103" i="1"/>
  <c r="J103" i="1" s="1"/>
  <c r="K103" i="1" s="1"/>
  <c r="I95" i="1"/>
  <c r="J95" i="1" s="1"/>
  <c r="K95" i="1" s="1"/>
  <c r="L95" i="1"/>
  <c r="M95" i="1" s="1"/>
  <c r="I96" i="1"/>
  <c r="J96" i="1" s="1"/>
  <c r="K96" i="1" s="1"/>
  <c r="L96" i="1"/>
  <c r="M96" i="1" s="1"/>
  <c r="I97" i="1"/>
  <c r="J97" i="1" s="1"/>
  <c r="K97" i="1" s="1"/>
  <c r="L97" i="1"/>
  <c r="M97" i="1" s="1"/>
  <c r="I98" i="1"/>
  <c r="J98" i="1" s="1"/>
  <c r="K98" i="1" s="1"/>
  <c r="L98" i="1"/>
  <c r="M98" i="1" s="1"/>
  <c r="I99" i="1"/>
  <c r="J99" i="1" s="1"/>
  <c r="K99" i="1" s="1"/>
  <c r="L99" i="1"/>
  <c r="M99" i="1" s="1"/>
  <c r="I100" i="1"/>
  <c r="J100" i="1" s="1"/>
  <c r="K100" i="1" s="1"/>
  <c r="L100" i="1"/>
  <c r="M100" i="1" s="1"/>
  <c r="L76" i="1" l="1"/>
  <c r="M76" i="1" s="1"/>
  <c r="I76" i="1"/>
  <c r="J76" i="1" s="1"/>
  <c r="K76" i="1" s="1"/>
  <c r="L75" i="1"/>
  <c r="M75" i="1" s="1"/>
  <c r="I75" i="1"/>
  <c r="J75" i="1" s="1"/>
  <c r="K75" i="1" s="1"/>
  <c r="L74" i="1"/>
  <c r="M74" i="1" s="1"/>
  <c r="N74" i="1" s="1"/>
  <c r="I74" i="1"/>
  <c r="J74" i="1" s="1"/>
  <c r="K74" i="1" s="1"/>
  <c r="L73" i="1"/>
  <c r="M73" i="1" s="1"/>
  <c r="N73" i="1" s="1"/>
  <c r="I73" i="1"/>
  <c r="J73" i="1" s="1"/>
  <c r="K73" i="1" s="1"/>
  <c r="I13" i="1"/>
  <c r="I65" i="1" l="1"/>
  <c r="J65" i="1" s="1"/>
  <c r="K65" i="1" s="1"/>
  <c r="L65" i="1"/>
  <c r="M65" i="1" s="1"/>
  <c r="I66" i="1"/>
  <c r="J66" i="1" s="1"/>
  <c r="K66" i="1" s="1"/>
  <c r="L66" i="1"/>
  <c r="M66" i="1" s="1"/>
  <c r="I67" i="1"/>
  <c r="J67" i="1" s="1"/>
  <c r="K67" i="1" s="1"/>
  <c r="L67" i="1"/>
  <c r="M67" i="1" s="1"/>
  <c r="I68" i="1"/>
  <c r="J68" i="1" s="1"/>
  <c r="K68" i="1" s="1"/>
  <c r="L68" i="1"/>
  <c r="M68" i="1" s="1"/>
  <c r="I69" i="1"/>
  <c r="J69" i="1" s="1"/>
  <c r="K69" i="1" s="1"/>
  <c r="L69" i="1"/>
  <c r="M69" i="1" s="1"/>
  <c r="I70" i="1"/>
  <c r="J70" i="1" s="1"/>
  <c r="K70" i="1" s="1"/>
  <c r="L70" i="1"/>
  <c r="M70" i="1" s="1"/>
  <c r="L53" i="1"/>
  <c r="M53" i="1" s="1"/>
  <c r="N53" i="1" s="1"/>
  <c r="I53" i="1"/>
  <c r="J53" i="1" s="1"/>
  <c r="K53" i="1" s="1"/>
  <c r="L52" i="1"/>
  <c r="M52" i="1" s="1"/>
  <c r="N52" i="1" s="1"/>
  <c r="I52" i="1"/>
  <c r="J52" i="1" s="1"/>
  <c r="K52" i="1" s="1"/>
  <c r="L49" i="1"/>
  <c r="M49" i="1" s="1"/>
  <c r="N49" i="1" s="1"/>
  <c r="I49" i="1"/>
  <c r="J49" i="1" s="1"/>
  <c r="K49" i="1" s="1"/>
  <c r="L48" i="1"/>
  <c r="M48" i="1" s="1"/>
  <c r="N48" i="1" s="1"/>
  <c r="I48" i="1"/>
  <c r="J48" i="1" s="1"/>
  <c r="K48" i="1" s="1"/>
  <c r="L41" i="1"/>
  <c r="M41" i="1" s="1"/>
  <c r="I41" i="1"/>
  <c r="J41" i="1" s="1"/>
  <c r="K41" i="1" s="1"/>
  <c r="L40" i="1"/>
  <c r="M40" i="1" s="1"/>
  <c r="I40" i="1"/>
  <c r="J40" i="1" s="1"/>
  <c r="K40" i="1" s="1"/>
  <c r="L39" i="1"/>
  <c r="M39" i="1" s="1"/>
  <c r="I39" i="1"/>
  <c r="J39" i="1" s="1"/>
  <c r="K39" i="1" s="1"/>
  <c r="L38" i="1"/>
  <c r="M38" i="1" s="1"/>
  <c r="I38" i="1"/>
  <c r="J38" i="1" s="1"/>
  <c r="K38" i="1" s="1"/>
  <c r="L37" i="1"/>
  <c r="M37" i="1" s="1"/>
  <c r="I37" i="1"/>
  <c r="J37" i="1" s="1"/>
  <c r="K37" i="1" s="1"/>
  <c r="L36" i="1"/>
  <c r="M36" i="1" s="1"/>
  <c r="N36" i="1" s="1"/>
  <c r="I36" i="1"/>
  <c r="J36" i="1" s="1"/>
  <c r="K36" i="1" s="1"/>
  <c r="L31" i="1" l="1"/>
  <c r="M31" i="1" s="1"/>
  <c r="N31" i="1" s="1"/>
  <c r="I31" i="1"/>
  <c r="J31" i="1" s="1"/>
  <c r="K31" i="1" s="1"/>
  <c r="L30" i="1"/>
  <c r="M30" i="1" s="1"/>
  <c r="N30" i="1" s="1"/>
  <c r="I30" i="1"/>
  <c r="J30" i="1" s="1"/>
  <c r="K30" i="1" s="1"/>
  <c r="L29" i="1"/>
  <c r="M29" i="1" s="1"/>
  <c r="N29" i="1" s="1"/>
  <c r="I29" i="1"/>
  <c r="J29" i="1" s="1"/>
  <c r="K29" i="1" s="1"/>
  <c r="L28" i="1"/>
  <c r="M28" i="1" s="1"/>
  <c r="N28" i="1" s="1"/>
  <c r="I28" i="1"/>
  <c r="J28" i="1" s="1"/>
  <c r="K28" i="1" s="1"/>
  <c r="L27" i="1"/>
  <c r="M27" i="1" s="1"/>
  <c r="N27" i="1" s="1"/>
  <c r="I27" i="1"/>
  <c r="J27" i="1" s="1"/>
  <c r="K27" i="1" s="1"/>
  <c r="L26" i="1"/>
  <c r="M26" i="1" s="1"/>
  <c r="N26" i="1" s="1"/>
  <c r="I26" i="1"/>
  <c r="J26" i="1" s="1"/>
  <c r="K26" i="1" s="1"/>
  <c r="L21" i="1"/>
  <c r="M21" i="1" s="1"/>
  <c r="N21" i="1" s="1"/>
  <c r="I21" i="1"/>
  <c r="J21" i="1" s="1"/>
  <c r="K21" i="1" s="1"/>
  <c r="L20" i="1"/>
  <c r="M20" i="1" s="1"/>
  <c r="N20" i="1" s="1"/>
  <c r="I20" i="1"/>
  <c r="J20" i="1" s="1"/>
  <c r="K20" i="1" s="1"/>
  <c r="L17" i="1"/>
  <c r="M17" i="1" s="1"/>
  <c r="N17" i="1" s="1"/>
  <c r="I17" i="1"/>
  <c r="J17" i="1" s="1"/>
  <c r="K17" i="1" s="1"/>
  <c r="L16" i="1"/>
  <c r="M16" i="1" s="1"/>
  <c r="N16" i="1" s="1"/>
  <c r="I16" i="1"/>
  <c r="J16" i="1" s="1"/>
  <c r="K16" i="1" s="1"/>
  <c r="L23" i="1"/>
  <c r="M23" i="1" s="1"/>
  <c r="N23" i="1" s="1"/>
  <c r="I23" i="1"/>
  <c r="J23" i="1" s="1"/>
  <c r="K23" i="1" s="1"/>
  <c r="L22" i="1"/>
  <c r="M22" i="1" s="1"/>
  <c r="N22" i="1" s="1"/>
  <c r="I22" i="1"/>
  <c r="J22" i="1" s="1"/>
  <c r="K22" i="1" s="1"/>
  <c r="O54" i="1" s="1"/>
  <c r="I7" i="5" l="1"/>
  <c r="J7" i="5" s="1"/>
  <c r="K7" i="5" s="1"/>
  <c r="I6" i="5"/>
  <c r="J6" i="5" s="1"/>
  <c r="K6" i="5" s="1"/>
  <c r="I159" i="5" l="1"/>
  <c r="J159" i="5" s="1"/>
  <c r="K159" i="5" s="1"/>
  <c r="I158" i="5"/>
  <c r="J158" i="5" s="1"/>
  <c r="K158" i="5" s="1"/>
  <c r="I222" i="4"/>
  <c r="J222" i="4" s="1"/>
  <c r="K222" i="4" s="1"/>
  <c r="I221" i="4"/>
  <c r="J221" i="4" s="1"/>
  <c r="K221" i="4" s="1"/>
  <c r="I127" i="4"/>
  <c r="J127" i="4" s="1"/>
  <c r="K127" i="4" s="1"/>
  <c r="I126" i="4"/>
  <c r="J126" i="4" s="1"/>
  <c r="K126" i="4" s="1"/>
  <c r="I125" i="4"/>
  <c r="J125" i="4" s="1"/>
  <c r="K125" i="4" s="1"/>
  <c r="I124" i="4"/>
  <c r="J124" i="4" s="1"/>
  <c r="K124" i="4" s="1"/>
  <c r="I123" i="4"/>
  <c r="J123" i="4" s="1"/>
  <c r="K123" i="4" s="1"/>
  <c r="I122" i="4"/>
  <c r="J122" i="4" s="1"/>
  <c r="K122" i="4" s="1"/>
  <c r="L206" i="1"/>
  <c r="M206" i="1" s="1"/>
  <c r="I206" i="1"/>
  <c r="J206" i="1" s="1"/>
  <c r="K206" i="1" s="1"/>
  <c r="L205" i="1"/>
  <c r="M205" i="1" s="1"/>
  <c r="I205" i="1"/>
  <c r="J205" i="1" s="1"/>
  <c r="K205" i="1" s="1"/>
  <c r="L111" i="1"/>
  <c r="M111" i="1" s="1"/>
  <c r="I111" i="1"/>
  <c r="J111" i="1" s="1"/>
  <c r="K111" i="1" s="1"/>
  <c r="L78" i="1"/>
  <c r="M78" i="1" s="1"/>
  <c r="I78" i="1"/>
  <c r="J78" i="1" s="1"/>
  <c r="K78" i="1" s="1"/>
  <c r="L77" i="1"/>
  <c r="M77" i="1" s="1"/>
  <c r="I77" i="1"/>
  <c r="J77" i="1" s="1"/>
  <c r="K77" i="1" s="1"/>
  <c r="L155" i="1"/>
  <c r="M155" i="1" s="1"/>
  <c r="I155" i="1"/>
  <c r="J155" i="1" s="1"/>
  <c r="K155" i="1" s="1"/>
  <c r="L154" i="1"/>
  <c r="M154" i="1" s="1"/>
  <c r="I154" i="1"/>
  <c r="J154" i="1" s="1"/>
  <c r="K154" i="1" s="1"/>
  <c r="L165" i="1"/>
  <c r="M165" i="1" s="1"/>
  <c r="I165" i="1"/>
  <c r="J165" i="1" s="1"/>
  <c r="K165" i="1" s="1"/>
  <c r="L164" i="1"/>
  <c r="M164" i="1" s="1"/>
  <c r="I164" i="1"/>
  <c r="J164" i="1" s="1"/>
  <c r="K164" i="1" s="1"/>
  <c r="L4" i="1" l="1"/>
  <c r="M4" i="1" s="1"/>
  <c r="N4" i="1" s="1"/>
  <c r="L6" i="1"/>
  <c r="M6" i="1" s="1"/>
  <c r="N6" i="1" s="1"/>
  <c r="L9" i="1"/>
  <c r="M9" i="1" s="1"/>
  <c r="N9" i="1" s="1"/>
  <c r="L32" i="1"/>
  <c r="M32" i="1" s="1"/>
  <c r="L33" i="1"/>
  <c r="M33" i="1" s="1"/>
  <c r="N33" i="1" s="1"/>
  <c r="L34" i="1"/>
  <c r="M34" i="1" s="1"/>
  <c r="N34" i="1" s="1"/>
  <c r="L35" i="1"/>
  <c r="M35" i="1" s="1"/>
  <c r="N35" i="1" s="1"/>
  <c r="L42" i="1"/>
  <c r="M42" i="1" s="1"/>
  <c r="N42" i="1" s="1"/>
  <c r="L43" i="1"/>
  <c r="M43" i="1" s="1"/>
  <c r="N43" i="1" s="1"/>
  <c r="L44" i="1"/>
  <c r="M44" i="1" s="1"/>
  <c r="N44" i="1" s="1"/>
  <c r="L45" i="1"/>
  <c r="L46" i="1"/>
  <c r="M46" i="1" s="1"/>
  <c r="L47" i="1"/>
  <c r="M47" i="1" s="1"/>
  <c r="L50" i="1"/>
  <c r="M50" i="1" s="1"/>
  <c r="N50" i="1" s="1"/>
  <c r="L51" i="1"/>
  <c r="M51" i="1" s="1"/>
  <c r="N51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71" i="1"/>
  <c r="M71" i="1" s="1"/>
  <c r="L72" i="1"/>
  <c r="M72" i="1" s="1"/>
  <c r="L79" i="1"/>
  <c r="M79" i="1" s="1"/>
  <c r="L80" i="1"/>
  <c r="M80" i="1" s="1"/>
  <c r="L81" i="1"/>
  <c r="M81" i="1" s="1"/>
  <c r="N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101" i="1"/>
  <c r="M101" i="1" s="1"/>
  <c r="L102" i="1"/>
  <c r="M102" i="1" s="1"/>
  <c r="L107" i="1"/>
  <c r="M107" i="1" s="1"/>
  <c r="L108" i="1"/>
  <c r="M108" i="1" s="1"/>
  <c r="L109" i="1"/>
  <c r="M109" i="1" s="1"/>
  <c r="L110" i="1"/>
  <c r="M110" i="1" s="1"/>
  <c r="L112" i="1"/>
  <c r="M112" i="1" s="1"/>
  <c r="L113" i="1"/>
  <c r="M113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8" i="1"/>
  <c r="M158" i="1" s="1"/>
  <c r="L159" i="1"/>
  <c r="M159" i="1" s="1"/>
  <c r="L162" i="1"/>
  <c r="M162" i="1" s="1"/>
  <c r="L163" i="1"/>
  <c r="M163" i="1" s="1"/>
  <c r="L169" i="1"/>
  <c r="M169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7" i="1"/>
  <c r="M187" i="1" s="1"/>
  <c r="L188" i="1"/>
  <c r="M188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L14" i="1"/>
  <c r="M14" i="1" s="1"/>
  <c r="L15" i="1"/>
  <c r="M15" i="1" s="1"/>
  <c r="L18" i="1"/>
  <c r="L19" i="1"/>
  <c r="L24" i="1"/>
  <c r="M24" i="1" s="1"/>
  <c r="N24" i="1" s="1"/>
  <c r="L25" i="1"/>
  <c r="M25" i="1" s="1"/>
  <c r="N25" i="1" s="1"/>
  <c r="L13" i="1"/>
  <c r="M13" i="1" s="1"/>
  <c r="N13" i="1" s="1"/>
  <c r="I183" i="5"/>
  <c r="J183" i="5" s="1"/>
  <c r="K183" i="5" s="1"/>
  <c r="I182" i="5"/>
  <c r="J182" i="5" s="1"/>
  <c r="K182" i="5" s="1"/>
  <c r="I179" i="5"/>
  <c r="J179" i="5" s="1"/>
  <c r="K179" i="5" s="1"/>
  <c r="I178" i="5"/>
  <c r="J178" i="5" s="1"/>
  <c r="K178" i="5" s="1"/>
  <c r="I177" i="5"/>
  <c r="J177" i="5" s="1"/>
  <c r="K177" i="5" s="1"/>
  <c r="I176" i="5"/>
  <c r="J176" i="5" s="1"/>
  <c r="K176" i="5" s="1"/>
  <c r="I175" i="5"/>
  <c r="J175" i="5" s="1"/>
  <c r="K175" i="5" s="1"/>
  <c r="I174" i="5"/>
  <c r="J174" i="5" s="1"/>
  <c r="K174" i="5" s="1"/>
  <c r="I173" i="5"/>
  <c r="J173" i="5" s="1"/>
  <c r="K173" i="5" s="1"/>
  <c r="I172" i="5"/>
  <c r="J172" i="5" s="1"/>
  <c r="K172" i="5" s="1"/>
  <c r="I157" i="5"/>
  <c r="J157" i="5" s="1"/>
  <c r="K157" i="5" s="1"/>
  <c r="I156" i="5"/>
  <c r="J156" i="5" s="1"/>
  <c r="K156" i="5" s="1"/>
  <c r="I13" i="5"/>
  <c r="J13" i="5" s="1"/>
  <c r="K13" i="5" s="1"/>
  <c r="I12" i="5"/>
  <c r="J12" i="5" s="1"/>
  <c r="K12" i="5" s="1"/>
  <c r="I5" i="5"/>
  <c r="J5" i="5" s="1"/>
  <c r="K5" i="5" s="1"/>
  <c r="I4" i="5"/>
  <c r="J4" i="5" s="1"/>
  <c r="K4" i="5" s="1"/>
  <c r="I253" i="5"/>
  <c r="J253" i="5" s="1"/>
  <c r="K253" i="5" s="1"/>
  <c r="I252" i="5"/>
  <c r="J252" i="5" s="1"/>
  <c r="K252" i="5" s="1"/>
  <c r="I251" i="5"/>
  <c r="J251" i="5" s="1"/>
  <c r="K251" i="5" s="1"/>
  <c r="I250" i="5"/>
  <c r="J250" i="5" s="1"/>
  <c r="K250" i="5" s="1"/>
  <c r="I249" i="5"/>
  <c r="J249" i="5" s="1"/>
  <c r="K249" i="5" s="1"/>
  <c r="I248" i="5"/>
  <c r="J248" i="5" s="1"/>
  <c r="K248" i="5" s="1"/>
  <c r="I247" i="5"/>
  <c r="J247" i="5" s="1"/>
  <c r="K247" i="5" s="1"/>
  <c r="I246" i="5"/>
  <c r="J246" i="5" s="1"/>
  <c r="K246" i="5" s="1"/>
  <c r="I245" i="5"/>
  <c r="J245" i="5" s="1"/>
  <c r="K245" i="5" s="1"/>
  <c r="I244" i="5"/>
  <c r="J244" i="5" s="1"/>
  <c r="K244" i="5" s="1"/>
  <c r="I243" i="5"/>
  <c r="J243" i="5" s="1"/>
  <c r="K243" i="5" s="1"/>
  <c r="I242" i="5"/>
  <c r="J242" i="5" s="1"/>
  <c r="K242" i="5" s="1"/>
  <c r="I241" i="5"/>
  <c r="J241" i="5" s="1"/>
  <c r="K241" i="5" s="1"/>
  <c r="I240" i="5"/>
  <c r="J240" i="5" s="1"/>
  <c r="K240" i="5" s="1"/>
  <c r="I239" i="5"/>
  <c r="J239" i="5" s="1"/>
  <c r="K239" i="5" s="1"/>
  <c r="I238" i="5"/>
  <c r="J238" i="5" s="1"/>
  <c r="K238" i="5" s="1"/>
  <c r="I237" i="5"/>
  <c r="J237" i="5" s="1"/>
  <c r="K237" i="5" s="1"/>
  <c r="I236" i="5"/>
  <c r="J236" i="5" s="1"/>
  <c r="K236" i="5" s="1"/>
  <c r="I234" i="5"/>
  <c r="J234" i="5" s="1"/>
  <c r="K234" i="5" s="1"/>
  <c r="I233" i="5"/>
  <c r="J233" i="5" s="1"/>
  <c r="K233" i="5" s="1"/>
  <c r="I232" i="5"/>
  <c r="J232" i="5" s="1"/>
  <c r="K232" i="5" s="1"/>
  <c r="I227" i="5"/>
  <c r="J227" i="5" s="1"/>
  <c r="K227" i="5" s="1"/>
  <c r="I226" i="5"/>
  <c r="J226" i="5" s="1"/>
  <c r="K226" i="5" s="1"/>
  <c r="I225" i="5"/>
  <c r="J225" i="5" s="1"/>
  <c r="K225" i="5" s="1"/>
  <c r="I224" i="5"/>
  <c r="J224" i="5" s="1"/>
  <c r="K224" i="5" s="1"/>
  <c r="I223" i="5"/>
  <c r="J223" i="5" s="1"/>
  <c r="K223" i="5" s="1"/>
  <c r="I222" i="5"/>
  <c r="J222" i="5" s="1"/>
  <c r="K222" i="5" s="1"/>
  <c r="I221" i="5"/>
  <c r="J221" i="5" s="1"/>
  <c r="K221" i="5" s="1"/>
  <c r="I220" i="5"/>
  <c r="J220" i="5" s="1"/>
  <c r="K220" i="5" s="1"/>
  <c r="I219" i="5"/>
  <c r="J219" i="5" s="1"/>
  <c r="K219" i="5" s="1"/>
  <c r="I218" i="5"/>
  <c r="J218" i="5" s="1"/>
  <c r="K218" i="5" s="1"/>
  <c r="I217" i="5"/>
  <c r="J217" i="5" s="1"/>
  <c r="K217" i="5" s="1"/>
  <c r="I216" i="5"/>
  <c r="J216" i="5" s="1"/>
  <c r="K216" i="5" s="1"/>
  <c r="I215" i="5"/>
  <c r="J215" i="5" s="1"/>
  <c r="K215" i="5" s="1"/>
  <c r="I214" i="5"/>
  <c r="J214" i="5" s="1"/>
  <c r="K214" i="5" s="1"/>
  <c r="I190" i="5"/>
  <c r="J190" i="5" s="1"/>
  <c r="K190" i="5" s="1"/>
  <c r="I189" i="5"/>
  <c r="J189" i="5" s="1"/>
  <c r="K189" i="5" s="1"/>
  <c r="I133" i="4"/>
  <c r="J133" i="4" s="1"/>
  <c r="K133" i="4" s="1"/>
  <c r="I132" i="4"/>
  <c r="J132" i="4" s="1"/>
  <c r="K132" i="4" s="1"/>
  <c r="I131" i="4"/>
  <c r="J131" i="4" s="1"/>
  <c r="K131" i="4" s="1"/>
  <c r="I130" i="4"/>
  <c r="J130" i="4" s="1"/>
  <c r="K130" i="4" s="1"/>
  <c r="I129" i="4"/>
  <c r="J129" i="4" s="1"/>
  <c r="K129" i="4" s="1"/>
  <c r="I128" i="4"/>
  <c r="J128" i="4" s="1"/>
  <c r="K128" i="4" s="1"/>
  <c r="I117" i="4"/>
  <c r="J117" i="4" s="1"/>
  <c r="K117" i="4" s="1"/>
  <c r="I116" i="4"/>
  <c r="J116" i="4" s="1"/>
  <c r="K116" i="4" s="1"/>
  <c r="I115" i="4"/>
  <c r="J115" i="4" s="1"/>
  <c r="K115" i="4" s="1"/>
  <c r="I114" i="4"/>
  <c r="J114" i="4" s="1"/>
  <c r="K114" i="4" s="1"/>
  <c r="I232" i="4"/>
  <c r="J232" i="4" s="1"/>
  <c r="K232" i="4" s="1"/>
  <c r="I231" i="4"/>
  <c r="J231" i="4" s="1"/>
  <c r="K231" i="4" s="1"/>
  <c r="I230" i="4"/>
  <c r="J230" i="4" s="1"/>
  <c r="K230" i="4" s="1"/>
  <c r="I229" i="4"/>
  <c r="J229" i="4" s="1"/>
  <c r="K229" i="4" s="1"/>
  <c r="I228" i="4"/>
  <c r="J228" i="4" s="1"/>
  <c r="K228" i="4" s="1"/>
  <c r="I227" i="4"/>
  <c r="J227" i="4" s="1"/>
  <c r="K227" i="4" s="1"/>
  <c r="I226" i="4"/>
  <c r="J226" i="4" s="1"/>
  <c r="K226" i="4" s="1"/>
  <c r="I225" i="4"/>
  <c r="J225" i="4" s="1"/>
  <c r="K225" i="4" s="1"/>
  <c r="I224" i="4"/>
  <c r="J224" i="4" s="1"/>
  <c r="K224" i="4" s="1"/>
  <c r="I223" i="4"/>
  <c r="J223" i="4" s="1"/>
  <c r="K223" i="4" s="1"/>
  <c r="I220" i="4"/>
  <c r="J220" i="4" s="1"/>
  <c r="K220" i="4" s="1"/>
  <c r="I219" i="4"/>
  <c r="J219" i="4" s="1"/>
  <c r="K219" i="4" s="1"/>
  <c r="I218" i="4"/>
  <c r="J218" i="4" s="1"/>
  <c r="K218" i="4" s="1"/>
  <c r="I217" i="4"/>
  <c r="J217" i="4" s="1"/>
  <c r="K217" i="4" s="1"/>
  <c r="I216" i="4"/>
  <c r="J216" i="4" s="1"/>
  <c r="K216" i="4" s="1"/>
  <c r="I215" i="4"/>
  <c r="J215" i="4" s="1"/>
  <c r="K215" i="4" s="1"/>
  <c r="I7" i="4"/>
  <c r="J7" i="4" s="1"/>
  <c r="K7" i="4" s="1"/>
  <c r="I6" i="4"/>
  <c r="J6" i="4" s="1"/>
  <c r="K6" i="4" s="1"/>
  <c r="I5" i="4"/>
  <c r="J5" i="4" s="1"/>
  <c r="K5" i="4" s="1"/>
  <c r="I4" i="4"/>
  <c r="J4" i="4" s="1"/>
  <c r="K4" i="4" s="1"/>
  <c r="J215" i="1"/>
  <c r="K215" i="1" s="1"/>
  <c r="I216" i="1"/>
  <c r="J216" i="1" s="1"/>
  <c r="K216" i="1" s="1"/>
  <c r="I212" i="1"/>
  <c r="J212" i="1" s="1"/>
  <c r="K212" i="1" s="1"/>
  <c r="I213" i="1"/>
  <c r="J213" i="1" s="1"/>
  <c r="K213" i="1" s="1"/>
  <c r="I214" i="1"/>
  <c r="J214" i="1" s="1"/>
  <c r="K214" i="1" s="1"/>
  <c r="I207" i="1"/>
  <c r="J207" i="1" s="1"/>
  <c r="K207" i="1" s="1"/>
  <c r="I208" i="1"/>
  <c r="J208" i="1" s="1"/>
  <c r="K208" i="1" s="1"/>
  <c r="I209" i="1"/>
  <c r="J209" i="1" s="1"/>
  <c r="K209" i="1" s="1"/>
  <c r="I210" i="1"/>
  <c r="J210" i="1" s="1"/>
  <c r="K210" i="1" s="1"/>
  <c r="I211" i="1"/>
  <c r="J211" i="1" s="1"/>
  <c r="K211" i="1" s="1"/>
  <c r="I203" i="1"/>
  <c r="J203" i="1" s="1"/>
  <c r="K203" i="1" s="1"/>
  <c r="I204" i="1"/>
  <c r="J204" i="1" s="1"/>
  <c r="K204" i="1" s="1"/>
  <c r="I200" i="1"/>
  <c r="J200" i="1" s="1"/>
  <c r="K200" i="1" s="1"/>
  <c r="I201" i="1"/>
  <c r="J201" i="1" s="1"/>
  <c r="K201" i="1" s="1"/>
  <c r="I202" i="1"/>
  <c r="J202" i="1" s="1"/>
  <c r="K202" i="1" s="1"/>
  <c r="I199" i="1"/>
  <c r="J199" i="1" s="1"/>
  <c r="K199" i="1" s="1"/>
  <c r="I197" i="1"/>
  <c r="J197" i="1" s="1"/>
  <c r="K197" i="1" s="1"/>
  <c r="I194" i="1"/>
  <c r="J194" i="1" s="1"/>
  <c r="K194" i="1" s="1"/>
  <c r="I195" i="1"/>
  <c r="J195" i="1" s="1"/>
  <c r="K195" i="1" s="1"/>
  <c r="I196" i="1"/>
  <c r="J196" i="1" s="1"/>
  <c r="K196" i="1" s="1"/>
  <c r="I192" i="1"/>
  <c r="J192" i="1" s="1"/>
  <c r="K192" i="1" s="1"/>
  <c r="I193" i="1"/>
  <c r="J193" i="1" s="1"/>
  <c r="K193" i="1" s="1"/>
  <c r="I191" i="1"/>
  <c r="J191" i="1" s="1"/>
  <c r="K191" i="1" s="1"/>
  <c r="I187" i="1"/>
  <c r="J187" i="1" s="1"/>
  <c r="K187" i="1" s="1"/>
  <c r="I188" i="1"/>
  <c r="J188" i="1" s="1"/>
  <c r="K188" i="1" s="1"/>
  <c r="I183" i="1"/>
  <c r="J183" i="1" s="1"/>
  <c r="K183" i="1" s="1"/>
  <c r="I184" i="1"/>
  <c r="J184" i="1" s="1"/>
  <c r="K184" i="1" s="1"/>
  <c r="I182" i="1"/>
  <c r="J182" i="1" s="1"/>
  <c r="K182" i="1" s="1"/>
  <c r="I180" i="1"/>
  <c r="J180" i="1" s="1"/>
  <c r="K180" i="1" s="1"/>
  <c r="I181" i="1"/>
  <c r="J181" i="1" s="1"/>
  <c r="K181" i="1" s="1"/>
  <c r="I178" i="1"/>
  <c r="J178" i="1" s="1"/>
  <c r="K178" i="1" s="1"/>
  <c r="I179" i="1"/>
  <c r="J179" i="1" s="1"/>
  <c r="K179" i="1" s="1"/>
  <c r="I177" i="1"/>
  <c r="J177" i="1" s="1"/>
  <c r="K177" i="1" s="1"/>
  <c r="I172" i="1"/>
  <c r="J172" i="1" s="1"/>
  <c r="K172" i="1" s="1"/>
  <c r="I173" i="1"/>
  <c r="J173" i="1" s="1"/>
  <c r="K173" i="1" s="1"/>
  <c r="I174" i="1"/>
  <c r="J174" i="1" s="1"/>
  <c r="K174" i="1" s="1"/>
  <c r="I175" i="1"/>
  <c r="J175" i="1" s="1"/>
  <c r="K175" i="1" s="1"/>
  <c r="I169" i="1"/>
  <c r="J169" i="1" s="1"/>
  <c r="K169" i="1" s="1"/>
  <c r="K14" i="5" l="1"/>
  <c r="K254" i="5"/>
  <c r="C259" i="5" s="1"/>
  <c r="D259" i="5" s="1"/>
  <c r="N32" i="1"/>
  <c r="M45" i="1"/>
  <c r="N45" i="1" s="1"/>
  <c r="N15" i="1"/>
  <c r="N47" i="1"/>
  <c r="M19" i="1"/>
  <c r="N19" i="1" s="1"/>
  <c r="N14" i="1"/>
  <c r="N46" i="1"/>
  <c r="M18" i="1"/>
  <c r="N18" i="1" s="1"/>
  <c r="L47" i="5"/>
  <c r="N47" i="5" s="1"/>
  <c r="K120" i="5"/>
  <c r="L120" i="5" s="1"/>
  <c r="N120" i="5" s="1"/>
  <c r="K8" i="4"/>
  <c r="L8" i="4" s="1"/>
  <c r="N8" i="4" s="1"/>
  <c r="K52" i="4"/>
  <c r="L52" i="4" s="1"/>
  <c r="N52" i="4" s="1"/>
  <c r="K111" i="4"/>
  <c r="L57" i="4" s="1"/>
  <c r="N57" i="4" s="1"/>
  <c r="K233" i="4"/>
  <c r="C238" i="4" s="1"/>
  <c r="D238" i="4" s="1"/>
  <c r="I162" i="1"/>
  <c r="J162" i="1" s="1"/>
  <c r="K162" i="1" s="1"/>
  <c r="I163" i="1"/>
  <c r="J163" i="1" s="1"/>
  <c r="K163" i="1" s="1"/>
  <c r="I153" i="1"/>
  <c r="J153" i="1" s="1"/>
  <c r="K153" i="1" s="1"/>
  <c r="I158" i="1"/>
  <c r="J158" i="1" s="1"/>
  <c r="K158" i="1" s="1"/>
  <c r="I159" i="1"/>
  <c r="J159" i="1" s="1"/>
  <c r="K159" i="1" s="1"/>
  <c r="I149" i="1"/>
  <c r="J149" i="1" s="1"/>
  <c r="K149" i="1" s="1"/>
  <c r="I151" i="1"/>
  <c r="J151" i="1" s="1"/>
  <c r="K151" i="1" s="1"/>
  <c r="I152" i="1"/>
  <c r="J152" i="1" s="1"/>
  <c r="K152" i="1" s="1"/>
  <c r="I147" i="1"/>
  <c r="J147" i="1" s="1"/>
  <c r="K147" i="1" s="1"/>
  <c r="I148" i="1"/>
  <c r="J148" i="1" s="1"/>
  <c r="K148" i="1" s="1"/>
  <c r="I145" i="1"/>
  <c r="J145" i="1" s="1"/>
  <c r="K145" i="1" s="1"/>
  <c r="I146" i="1"/>
  <c r="J146" i="1" s="1"/>
  <c r="K146" i="1" s="1"/>
  <c r="I137" i="1"/>
  <c r="J137" i="1" s="1"/>
  <c r="K137" i="1" s="1"/>
  <c r="I138" i="1"/>
  <c r="J138" i="1" s="1"/>
  <c r="K138" i="1" s="1"/>
  <c r="I139" i="1"/>
  <c r="J139" i="1" s="1"/>
  <c r="K139" i="1" s="1"/>
  <c r="I140" i="1"/>
  <c r="J140" i="1" s="1"/>
  <c r="K140" i="1" s="1"/>
  <c r="I141" i="1"/>
  <c r="J141" i="1" s="1"/>
  <c r="K141" i="1" s="1"/>
  <c r="I142" i="1"/>
  <c r="J142" i="1" s="1"/>
  <c r="K142" i="1" s="1"/>
  <c r="I143" i="1"/>
  <c r="J143" i="1" s="1"/>
  <c r="K143" i="1" s="1"/>
  <c r="I144" i="1"/>
  <c r="J144" i="1" s="1"/>
  <c r="K144" i="1" s="1"/>
  <c r="I136" i="1"/>
  <c r="J136" i="1" s="1"/>
  <c r="K136" i="1" s="1"/>
  <c r="I128" i="1"/>
  <c r="J128" i="1" s="1"/>
  <c r="K128" i="1" s="1"/>
  <c r="I131" i="1"/>
  <c r="J131" i="1" s="1"/>
  <c r="K131" i="1" s="1"/>
  <c r="I132" i="1"/>
  <c r="J132" i="1" s="1"/>
  <c r="K132" i="1" s="1"/>
  <c r="I133" i="1"/>
  <c r="J133" i="1" s="1"/>
  <c r="K133" i="1" s="1"/>
  <c r="I134" i="1"/>
  <c r="J134" i="1" s="1"/>
  <c r="K134" i="1" s="1"/>
  <c r="I135" i="1"/>
  <c r="J135" i="1" s="1"/>
  <c r="K135" i="1" s="1"/>
  <c r="I127" i="1"/>
  <c r="J127" i="1" s="1"/>
  <c r="K127" i="1" s="1"/>
  <c r="I126" i="1"/>
  <c r="J126" i="1" s="1"/>
  <c r="K126" i="1" s="1"/>
  <c r="I125" i="1"/>
  <c r="J125" i="1" s="1"/>
  <c r="K125" i="1" s="1"/>
  <c r="I124" i="1"/>
  <c r="J124" i="1" s="1"/>
  <c r="K124" i="1" s="1"/>
  <c r="I123" i="1"/>
  <c r="J123" i="1" s="1"/>
  <c r="K123" i="1" s="1"/>
  <c r="I122" i="1"/>
  <c r="J122" i="1" s="1"/>
  <c r="K122" i="1" s="1"/>
  <c r="I121" i="1"/>
  <c r="J121" i="1" s="1"/>
  <c r="K121" i="1" s="1"/>
  <c r="I119" i="1"/>
  <c r="J119" i="1" s="1"/>
  <c r="K119" i="1" s="1"/>
  <c r="I120" i="1"/>
  <c r="J120" i="1" s="1"/>
  <c r="K120" i="1" s="1"/>
  <c r="I113" i="1"/>
  <c r="J113" i="1" s="1"/>
  <c r="K113" i="1" s="1"/>
  <c r="I112" i="1"/>
  <c r="J112" i="1" s="1"/>
  <c r="K112" i="1" s="1"/>
  <c r="I110" i="1"/>
  <c r="J110" i="1" s="1"/>
  <c r="K110" i="1" s="1"/>
  <c r="I109" i="1"/>
  <c r="J109" i="1" s="1"/>
  <c r="K109" i="1" s="1"/>
  <c r="I108" i="1"/>
  <c r="J108" i="1" s="1"/>
  <c r="K108" i="1" s="1"/>
  <c r="I107" i="1"/>
  <c r="J107" i="1" s="1"/>
  <c r="K107" i="1" s="1"/>
  <c r="I102" i="1"/>
  <c r="J102" i="1" s="1"/>
  <c r="K102" i="1" s="1"/>
  <c r="I101" i="1"/>
  <c r="J101" i="1" s="1"/>
  <c r="K101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0" i="1"/>
  <c r="J80" i="1" s="1"/>
  <c r="K80" i="1" s="1"/>
  <c r="I79" i="1"/>
  <c r="J79" i="1" s="1"/>
  <c r="K79" i="1" s="1"/>
  <c r="I63" i="1"/>
  <c r="J63" i="1" s="1"/>
  <c r="K63" i="1" s="1"/>
  <c r="I64" i="1"/>
  <c r="J64" i="1" s="1"/>
  <c r="K64" i="1" s="1"/>
  <c r="I71" i="1"/>
  <c r="J71" i="1" s="1"/>
  <c r="K71" i="1" s="1"/>
  <c r="I72" i="1"/>
  <c r="J72" i="1" s="1"/>
  <c r="K72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58" i="1"/>
  <c r="J58" i="1" s="1"/>
  <c r="K58" i="1" s="1"/>
  <c r="I57" i="1"/>
  <c r="J57" i="1" s="1"/>
  <c r="K57" i="1" s="1"/>
  <c r="I51" i="1"/>
  <c r="J51" i="1" s="1"/>
  <c r="K51" i="1" s="1"/>
  <c r="I50" i="1"/>
  <c r="J50" i="1" s="1"/>
  <c r="K50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25" i="1"/>
  <c r="J25" i="1" s="1"/>
  <c r="K25" i="1" s="1"/>
  <c r="I24" i="1"/>
  <c r="J24" i="1" s="1"/>
  <c r="K24" i="1" s="1"/>
  <c r="I19" i="1"/>
  <c r="J19" i="1" s="1"/>
  <c r="K19" i="1" s="1"/>
  <c r="I18" i="1"/>
  <c r="J18" i="1" s="1"/>
  <c r="K18" i="1" s="1"/>
  <c r="I15" i="1"/>
  <c r="J15" i="1" s="1"/>
  <c r="K15" i="1" s="1"/>
  <c r="I14" i="1"/>
  <c r="J14" i="1" s="1"/>
  <c r="K14" i="1" s="1"/>
  <c r="J13" i="1"/>
  <c r="K13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4" i="1"/>
  <c r="J4" i="1" s="1"/>
  <c r="K4" i="1" s="1"/>
  <c r="C240" i="4" l="1"/>
  <c r="D258" i="5"/>
  <c r="C260" i="5" s="1"/>
  <c r="L14" i="5"/>
  <c r="N14" i="5" s="1"/>
  <c r="C261" i="5" s="1"/>
  <c r="K116" i="1"/>
  <c r="L116" i="1" s="1"/>
  <c r="N116" i="1" s="1"/>
  <c r="K54" i="1"/>
  <c r="D237" i="4"/>
  <c r="C239" i="4" s="1"/>
  <c r="K217" i="1"/>
  <c r="C222" i="1" s="1"/>
  <c r="D222" i="1" s="1"/>
  <c r="K10" i="1"/>
  <c r="L54" i="1" l="1"/>
  <c r="N54" i="1" s="1"/>
  <c r="C221" i="1"/>
  <c r="D221" i="1"/>
  <c r="C223" i="1" s="1"/>
  <c r="L10" i="1"/>
  <c r="N10" i="1" s="1"/>
  <c r="C224" i="1" s="1"/>
</calcChain>
</file>

<file path=xl/sharedStrings.xml><?xml version="1.0" encoding="utf-8"?>
<sst xmlns="http://schemas.openxmlformats.org/spreadsheetml/2006/main" count="2681" uniqueCount="293">
  <si>
    <t>Channel 1</t>
  </si>
  <si>
    <t>input</t>
  </si>
  <si>
    <t>logic</t>
  </si>
  <si>
    <t>output</t>
  </si>
  <si>
    <t>类型</t>
  </si>
  <si>
    <t>数量</t>
  </si>
  <si>
    <t>危险失效概率</t>
  </si>
  <si>
    <t>电阻</t>
  </si>
  <si>
    <t>电容</t>
  </si>
  <si>
    <t>二极管</t>
  </si>
  <si>
    <t>三极管</t>
  </si>
  <si>
    <t>晶振</t>
  </si>
  <si>
    <t>MTTF(年)</t>
  </si>
  <si>
    <t>元件位号</t>
  </si>
  <si>
    <t>元件MTTFd（年）</t>
  </si>
  <si>
    <t>1/元件MTTFd（年）</t>
  </si>
  <si>
    <t>nj/元件MTTFd（年）</t>
  </si>
  <si>
    <t>Test Channel</t>
  </si>
  <si>
    <t>MTTFd</t>
  </si>
  <si>
    <t>失效模式</t>
  </si>
  <si>
    <t>open</t>
  </si>
  <si>
    <t>失效影响</t>
  </si>
  <si>
    <t>电阻开路，无法采集cell电压</t>
  </si>
  <si>
    <t>磁珠开路，无法采集cell电压</t>
  </si>
  <si>
    <t>drift</t>
  </si>
  <si>
    <t>没有影响</t>
  </si>
  <si>
    <t>失效模式是否影响安全</t>
  </si>
  <si>
    <t>yes</t>
  </si>
  <si>
    <t>no</t>
  </si>
  <si>
    <t>short</t>
  </si>
  <si>
    <t xml:space="preserve">open </t>
  </si>
  <si>
    <t>电容短路，cell电压短路，无法采集cell电压</t>
  </si>
  <si>
    <t>AFE</t>
  </si>
  <si>
    <t>AFE失效，无法采集cell电压</t>
  </si>
  <si>
    <t>二极管开路，AFE无法供电，cell电压无法采集</t>
  </si>
  <si>
    <t>电阻开路，AFE无法供电，cell电压无法采集</t>
  </si>
  <si>
    <t>电容短路，AFE无法正常工作，无法采集cell电压</t>
  </si>
  <si>
    <t>MOS管</t>
  </si>
  <si>
    <t xml:space="preserve">DS open </t>
  </si>
  <si>
    <t>GS open</t>
  </si>
  <si>
    <t>GD open</t>
  </si>
  <si>
    <t>DS short</t>
  </si>
  <si>
    <t>GS short</t>
  </si>
  <si>
    <t>GD short</t>
  </si>
  <si>
    <t>AFE无法唤醒，MOS管关断，无法充放电，不影响安全，是安全失效</t>
  </si>
  <si>
    <t>对电压保护没有影响</t>
  </si>
  <si>
    <t>oepn</t>
  </si>
  <si>
    <t>MOS无法打开，安全失效</t>
  </si>
  <si>
    <t>MOS无法关断，充电过压时无法关断</t>
  </si>
  <si>
    <t>稳压管</t>
  </si>
  <si>
    <t>ce open</t>
  </si>
  <si>
    <t>be open</t>
  </si>
  <si>
    <t>cb open</t>
  </si>
  <si>
    <t>ce short</t>
  </si>
  <si>
    <t>be short</t>
  </si>
  <si>
    <t>cb short</t>
  </si>
  <si>
    <t>ce短路，MOS管无法打开，安全失效</t>
  </si>
  <si>
    <t>be短路，MOS管无法打开，安全失效</t>
  </si>
  <si>
    <t>二极管开路，MOS管无法打开，安全失效</t>
  </si>
  <si>
    <t>MOS无法关断，放电过压时无法关断</t>
  </si>
  <si>
    <t>二极管开路，Q5无法打开，Q2无法打开，从而无法采集母线电压</t>
  </si>
  <si>
    <t>Q5无法打开，Q2无法打开，从而无法采集母线电压</t>
  </si>
  <si>
    <t>shift</t>
  </si>
  <si>
    <t>影响静态功耗，对安全没有影响</t>
  </si>
  <si>
    <t>Q2无法打开，无法采集母线电压</t>
  </si>
  <si>
    <t>无法采集母线电压</t>
  </si>
  <si>
    <t>不影响安全</t>
  </si>
  <si>
    <t>电阻开路，无法采集母线电压</t>
  </si>
  <si>
    <t>电阻漂移，采集母线电压错误</t>
  </si>
  <si>
    <t>二极管开路，LDO无法输出3.3V给单片机供电</t>
  </si>
  <si>
    <t>电阻开路，LDO无法输出3.3V给单片机供电</t>
  </si>
  <si>
    <t>LDO无法输出3.3V给单片机供电</t>
  </si>
  <si>
    <t>LDO</t>
  </si>
  <si>
    <t>NA</t>
  </si>
  <si>
    <t>单片机</t>
  </si>
  <si>
    <t>单片机失效，无法对AFE进行监测</t>
  </si>
  <si>
    <t>单片机工作异常，无法对AFE进行监控</t>
  </si>
  <si>
    <t>晶振无法起振，单片机工作异常，无法对AFE进行监控</t>
  </si>
  <si>
    <t>晶振失效，单片机工作异常，无法对AFE进行监控</t>
  </si>
  <si>
    <t>电阻开路，单片机无法被reset，过压时有无法关断的风险</t>
  </si>
  <si>
    <t>电阻开路，看门狗芯片无法供电，单片机跑飞时，无法复位，过压时有无法关断的风险</t>
  </si>
  <si>
    <t>电容短路，3.3V对地短路，单片机供电丢失，无法监控AFE</t>
  </si>
  <si>
    <t>芯片</t>
  </si>
  <si>
    <t>单片机跑飞时，无法复位，过压时有无法关断的风险</t>
  </si>
  <si>
    <t>二极管开路，无法关断三段fuse</t>
  </si>
  <si>
    <t>电容短路，Q19无法打开，过压时无法关断三端fuse</t>
  </si>
  <si>
    <t>Q19打不开，无法熔断三端FUSE</t>
  </si>
  <si>
    <t>错误熔断三端FUSE，对安全没有影响</t>
  </si>
  <si>
    <t>Q19无法打开，无法熔断三端FUSE</t>
  </si>
  <si>
    <t>三端FUSE</t>
  </si>
  <si>
    <t>过压时无法关断FUSE</t>
  </si>
  <si>
    <t>错误关断FUSE，对安全没有影响</t>
  </si>
  <si>
    <t>NTC</t>
  </si>
  <si>
    <t>电阻开路，无法采集cell温度</t>
  </si>
  <si>
    <t>电容短路，AFE无法采集到电流信号，过流时无法保护</t>
  </si>
  <si>
    <t>电阻开路，AFE无法采集到电流信号，过流时无法保护</t>
  </si>
  <si>
    <t>Dcavg</t>
  </si>
  <si>
    <t>文件编号 / Document ID</t>
    <phoneticPr fontId="6" type="noConversion"/>
  </si>
  <si>
    <t>版本 / Versions</t>
  </si>
  <si>
    <t>DFMEA Report</t>
    <phoneticPr fontId="6" type="noConversion"/>
  </si>
  <si>
    <t>项目名称/ Project Name</t>
    <phoneticPr fontId="2" type="noConversion"/>
  </si>
  <si>
    <t>项目ID/ Project ID</t>
    <phoneticPr fontId="2" type="noConversion"/>
  </si>
  <si>
    <t>编制 / Author</t>
    <phoneticPr fontId="2" type="noConversion"/>
  </si>
  <si>
    <t>审核 / Reviewer</t>
    <phoneticPr fontId="6" type="noConversion"/>
  </si>
  <si>
    <t>批准 / Approver</t>
    <phoneticPr fontId="6" type="noConversion"/>
  </si>
  <si>
    <t>日期 / Date</t>
    <phoneticPr fontId="6" type="noConversion"/>
  </si>
  <si>
    <t xml:space="preserve"> </t>
    <phoneticPr fontId="2" type="noConversion"/>
  </si>
  <si>
    <t>版本 / Version</t>
    <phoneticPr fontId="2" type="noConversion"/>
  </si>
  <si>
    <t>修订历史</t>
  </si>
  <si>
    <t>版本</t>
  </si>
  <si>
    <t>日期</t>
  </si>
  <si>
    <t>作者</t>
  </si>
  <si>
    <t>审核</t>
  </si>
  <si>
    <t>文档状态</t>
  </si>
  <si>
    <t>修改内容</t>
  </si>
  <si>
    <t>已发布</t>
  </si>
  <si>
    <t>注：文档状态：”已发布“</t>
  </si>
  <si>
    <t>保险丝</t>
    <phoneticPr fontId="2" type="noConversion"/>
  </si>
  <si>
    <t>Q10</t>
    <phoneticPr fontId="2" type="noConversion"/>
  </si>
  <si>
    <t>D7,D8</t>
    <phoneticPr fontId="2" type="noConversion"/>
  </si>
  <si>
    <t>Q37</t>
    <phoneticPr fontId="2" type="noConversion"/>
  </si>
  <si>
    <t>Z6</t>
    <phoneticPr fontId="2" type="noConversion"/>
  </si>
  <si>
    <t>Q12</t>
    <phoneticPr fontId="2" type="noConversion"/>
  </si>
  <si>
    <t>Y1</t>
    <phoneticPr fontId="2" type="noConversion"/>
  </si>
  <si>
    <t>TVS3</t>
    <phoneticPr fontId="2" type="noConversion"/>
  </si>
  <si>
    <t>TVS管</t>
    <phoneticPr fontId="2" type="noConversion"/>
  </si>
  <si>
    <t>U1</t>
    <phoneticPr fontId="2" type="noConversion"/>
  </si>
  <si>
    <t>没有影响</t>
    <phoneticPr fontId="2" type="noConversion"/>
  </si>
  <si>
    <t>Q8</t>
    <phoneticPr fontId="2" type="noConversion"/>
  </si>
  <si>
    <t>没有影响</t>
    <phoneticPr fontId="2" type="noConversion"/>
  </si>
  <si>
    <t>没有影响</t>
    <phoneticPr fontId="2" type="noConversion"/>
  </si>
  <si>
    <t>F16</t>
    <phoneticPr fontId="2" type="noConversion"/>
  </si>
  <si>
    <t>TVS管</t>
    <phoneticPr fontId="2" type="noConversion"/>
  </si>
  <si>
    <t>Q7打不开，无法熔断三端FUSE</t>
    <phoneticPr fontId="2" type="noConversion"/>
  </si>
  <si>
    <t>Q7打不开，无法熔断三端FUSE</t>
    <phoneticPr fontId="2" type="noConversion"/>
  </si>
  <si>
    <t>Q7打不开，无法熔断三端FUSE</t>
    <phoneticPr fontId="2" type="noConversion"/>
  </si>
  <si>
    <t>Q7无法打开，无法熔断三端FUSE</t>
    <phoneticPr fontId="2" type="noConversion"/>
  </si>
  <si>
    <t>电容短路，Q7无法打开，过压时无法关断三端fuse</t>
    <phoneticPr fontId="2" type="noConversion"/>
  </si>
  <si>
    <t>没有影响</t>
    <phoneticPr fontId="2" type="noConversion"/>
  </si>
  <si>
    <t>电容短路，Q7无法打开，过压时无法关断三端fuse</t>
    <phoneticPr fontId="2" type="noConversion"/>
  </si>
  <si>
    <t>Q7无法打开，无法熔断三端FUSE</t>
    <phoneticPr fontId="2" type="noConversion"/>
  </si>
  <si>
    <t>logic</t>
    <phoneticPr fontId="2" type="noConversion"/>
  </si>
  <si>
    <t>V0.00</t>
    <phoneticPr fontId="6" type="noConversion"/>
  </si>
  <si>
    <t>2025.08.14</t>
    <phoneticPr fontId="6" type="noConversion"/>
  </si>
  <si>
    <t>V00</t>
    <phoneticPr fontId="6" type="noConversion"/>
  </si>
  <si>
    <t>yes</t>
    <phoneticPr fontId="2" type="noConversion"/>
  </si>
  <si>
    <t>yes</t>
    <phoneticPr fontId="2" type="noConversion"/>
  </si>
  <si>
    <t>open</t>
    <phoneticPr fontId="2" type="noConversion"/>
  </si>
  <si>
    <t>shift</t>
    <phoneticPr fontId="2" type="noConversion"/>
  </si>
  <si>
    <t>F1,F2,F3,F4,F5,F6,F7,F8,F9,F10,F11,F12,F13,F14</t>
    <phoneticPr fontId="2" type="noConversion"/>
  </si>
  <si>
    <t>C2, C9, C11, C13, C16, C18, C19, C20, C21, C25，C26,C28,C35,C39</t>
    <phoneticPr fontId="2" type="noConversion"/>
  </si>
  <si>
    <t>R19,R22,R26,R31,R34,R40,R48,R54,R59,R61,R63,R68,R70,R75,R144</t>
    <phoneticPr fontId="2" type="noConversion"/>
  </si>
  <si>
    <t>U2</t>
    <phoneticPr fontId="2" type="noConversion"/>
  </si>
  <si>
    <t>R13</t>
    <phoneticPr fontId="2" type="noConversion"/>
  </si>
  <si>
    <t>D2,D22</t>
    <phoneticPr fontId="2" type="noConversion"/>
  </si>
  <si>
    <t>TVS2,TVS9</t>
    <phoneticPr fontId="2" type="noConversion"/>
  </si>
  <si>
    <t>yes</t>
    <phoneticPr fontId="2" type="noConversion"/>
  </si>
  <si>
    <t>no</t>
    <phoneticPr fontId="2" type="noConversion"/>
  </si>
  <si>
    <t>PTC1，PTC6</t>
    <phoneticPr fontId="2" type="noConversion"/>
  </si>
  <si>
    <t>R95,R99,R103</t>
    <phoneticPr fontId="2" type="noConversion"/>
  </si>
  <si>
    <t>C59,C7,C5</t>
    <phoneticPr fontId="2" type="noConversion"/>
  </si>
  <si>
    <t>C1</t>
    <phoneticPr fontId="2" type="noConversion"/>
  </si>
  <si>
    <t>short</t>
    <phoneticPr fontId="2" type="noConversion"/>
  </si>
  <si>
    <t>C76,C77,C78,C86,90</t>
    <phoneticPr fontId="2" type="noConversion"/>
  </si>
  <si>
    <t>R72,R76,R81,R41,R18,R44,R46,R16</t>
    <phoneticPr fontId="2" type="noConversion"/>
  </si>
  <si>
    <t>C41,C97,C102,C103</t>
    <phoneticPr fontId="2" type="noConversion"/>
  </si>
  <si>
    <t>R58,R110,R112,R34,R24</t>
    <phoneticPr fontId="2" type="noConversion"/>
  </si>
  <si>
    <t>Q20</t>
    <phoneticPr fontId="2" type="noConversion"/>
  </si>
  <si>
    <t>C27,C24</t>
    <phoneticPr fontId="2" type="noConversion"/>
  </si>
  <si>
    <t>R47,R50,R52,R57</t>
    <phoneticPr fontId="2" type="noConversion"/>
  </si>
  <si>
    <t>no</t>
    <phoneticPr fontId="2" type="noConversion"/>
  </si>
  <si>
    <t>R62,R64,R66,R65</t>
    <phoneticPr fontId="2" type="noConversion"/>
  </si>
  <si>
    <t>C51C56,C60,C64</t>
    <phoneticPr fontId="2" type="noConversion"/>
  </si>
  <si>
    <t>Q1,Q7</t>
    <phoneticPr fontId="2" type="noConversion"/>
  </si>
  <si>
    <t>Z3,Z1</t>
    <phoneticPr fontId="2" type="noConversion"/>
  </si>
  <si>
    <t>Q11,Q9</t>
    <phoneticPr fontId="2" type="noConversion"/>
  </si>
  <si>
    <t>TVS3</t>
    <phoneticPr fontId="2" type="noConversion"/>
  </si>
  <si>
    <t>D6,D8</t>
    <phoneticPr fontId="2" type="noConversion"/>
  </si>
  <si>
    <t xml:space="preserve">open </t>
    <phoneticPr fontId="2" type="noConversion"/>
  </si>
  <si>
    <t>no</t>
    <phoneticPr fontId="2" type="noConversion"/>
  </si>
  <si>
    <t>R6,R10,R12,R33,R7</t>
    <phoneticPr fontId="2" type="noConversion"/>
  </si>
  <si>
    <t>R17,R11,R14</t>
    <phoneticPr fontId="2" type="noConversion"/>
  </si>
  <si>
    <t>二极管开路，AFE无法供电，cell电压无法采集</t>
    <phoneticPr fontId="2" type="noConversion"/>
  </si>
  <si>
    <t>没有影响</t>
    <phoneticPr fontId="2" type="noConversion"/>
  </si>
  <si>
    <t>电容短路，AFE无法正常工作，无法采集cell电压</t>
    <phoneticPr fontId="2" type="noConversion"/>
  </si>
  <si>
    <t>电容短路，AFE无法正常工作，无法采集cell电压</t>
    <phoneticPr fontId="2" type="noConversion"/>
  </si>
  <si>
    <t>影响唤醒功能，不影响安全</t>
    <phoneticPr fontId="2" type="noConversion"/>
  </si>
  <si>
    <t>无法充放电</t>
    <phoneticPr fontId="2" type="noConversion"/>
  </si>
  <si>
    <t>AFE无法唤醒，MOS管关断，无法充放电，不影响安全，是安全失效</t>
    <phoneticPr fontId="2" type="noConversion"/>
  </si>
  <si>
    <t>Q14</t>
    <phoneticPr fontId="2" type="noConversion"/>
  </si>
  <si>
    <t>TVS6</t>
    <phoneticPr fontId="2" type="noConversion"/>
  </si>
  <si>
    <t>TVS管</t>
    <phoneticPr fontId="2" type="noConversion"/>
  </si>
  <si>
    <t>R37,R45,R51</t>
    <phoneticPr fontId="2" type="noConversion"/>
  </si>
  <si>
    <t>R15,28,R20,R25,R29,R23</t>
    <phoneticPr fontId="2" type="noConversion"/>
  </si>
  <si>
    <t>D9,D11</t>
    <phoneticPr fontId="2" type="noConversion"/>
  </si>
  <si>
    <t>C44,C47</t>
    <phoneticPr fontId="2" type="noConversion"/>
  </si>
  <si>
    <t>TVS1</t>
    <phoneticPr fontId="2" type="noConversion"/>
  </si>
  <si>
    <t>R96</t>
    <phoneticPr fontId="2" type="noConversion"/>
  </si>
  <si>
    <t>R105</t>
    <phoneticPr fontId="2" type="noConversion"/>
  </si>
  <si>
    <t>R106</t>
    <phoneticPr fontId="2" type="noConversion"/>
  </si>
  <si>
    <t>yes</t>
    <phoneticPr fontId="2" type="noConversion"/>
  </si>
  <si>
    <t>C83</t>
    <phoneticPr fontId="2" type="noConversion"/>
  </si>
  <si>
    <t>R100</t>
    <phoneticPr fontId="2" type="noConversion"/>
  </si>
  <si>
    <t>R102</t>
    <phoneticPr fontId="2" type="noConversion"/>
  </si>
  <si>
    <t>Z8</t>
    <phoneticPr fontId="2" type="noConversion"/>
  </si>
  <si>
    <t>Q21</t>
    <phoneticPr fontId="2" type="noConversion"/>
  </si>
  <si>
    <t>三极管</t>
    <phoneticPr fontId="2" type="noConversion"/>
  </si>
  <si>
    <t>R101,R104,R108</t>
    <phoneticPr fontId="2" type="noConversion"/>
  </si>
  <si>
    <t>R107</t>
    <phoneticPr fontId="2" type="noConversion"/>
  </si>
  <si>
    <t>C84</t>
    <phoneticPr fontId="2" type="noConversion"/>
  </si>
  <si>
    <t>R60</t>
    <phoneticPr fontId="2" type="noConversion"/>
  </si>
  <si>
    <t>PTC4</t>
    <phoneticPr fontId="2" type="noConversion"/>
  </si>
  <si>
    <t>C75,C45,C40,C15,46,C48,C49,C50,C58,C61,C62</t>
    <phoneticPr fontId="2" type="noConversion"/>
  </si>
  <si>
    <t>C53,C85,C12</t>
    <phoneticPr fontId="2" type="noConversion"/>
  </si>
  <si>
    <t>C14,C3</t>
    <phoneticPr fontId="2" type="noConversion"/>
  </si>
  <si>
    <t>LDO无法输出3.3V给单片机供电</t>
    <phoneticPr fontId="2" type="noConversion"/>
  </si>
  <si>
    <t>U3</t>
    <phoneticPr fontId="2" type="noConversion"/>
  </si>
  <si>
    <t>DC-DC</t>
    <phoneticPr fontId="2" type="noConversion"/>
  </si>
  <si>
    <t>U4</t>
    <phoneticPr fontId="2" type="noConversion"/>
  </si>
  <si>
    <t>R132,R125,R126,R98,R129</t>
    <phoneticPr fontId="2" type="noConversion"/>
  </si>
  <si>
    <t>R97</t>
    <phoneticPr fontId="2" type="noConversion"/>
  </si>
  <si>
    <t>D电感</t>
    <phoneticPr fontId="2" type="noConversion"/>
  </si>
  <si>
    <t>L1</t>
    <phoneticPr fontId="2" type="noConversion"/>
  </si>
  <si>
    <t>LDO无法输出3.3V给单片机供电,CAN通信电源丢失，LED无法显示</t>
    <phoneticPr fontId="2" type="noConversion"/>
  </si>
  <si>
    <t>LDO无法输出3.3V给单片机供电,CAN通信电源丢失，LED无法显示</t>
    <phoneticPr fontId="2" type="noConversion"/>
  </si>
  <si>
    <t>LDO无法输出3.3V给单片机供电,CAN通信电源丢失，LED无法显示</t>
    <phoneticPr fontId="2" type="noConversion"/>
  </si>
  <si>
    <t>单片机3.3V电源丢失，无法正常监控AFE</t>
    <phoneticPr fontId="2" type="noConversion"/>
  </si>
  <si>
    <t>C8,C6</t>
    <phoneticPr fontId="2" type="noConversion"/>
  </si>
  <si>
    <t>C17,C43</t>
    <phoneticPr fontId="2" type="noConversion"/>
  </si>
  <si>
    <t>C22,C23,C30,C31,C32,C33,C34</t>
    <phoneticPr fontId="2" type="noConversion"/>
  </si>
  <si>
    <t>开路单片机无法上电reset，不影响安全</t>
    <phoneticPr fontId="2" type="noConversion"/>
  </si>
  <si>
    <t>R38,R45</t>
    <phoneticPr fontId="2" type="noConversion"/>
  </si>
  <si>
    <t>R5,R29,R21,R27,R30,R179</t>
    <phoneticPr fontId="2" type="noConversion"/>
  </si>
  <si>
    <t>R35,R36,R42,R39</t>
    <phoneticPr fontId="2" type="noConversion"/>
  </si>
  <si>
    <t>D19,D21,D24</t>
    <phoneticPr fontId="2" type="noConversion"/>
  </si>
  <si>
    <t>U5</t>
    <phoneticPr fontId="2" type="noConversion"/>
  </si>
  <si>
    <t>R137</t>
    <phoneticPr fontId="2" type="noConversion"/>
  </si>
  <si>
    <t>R146</t>
    <phoneticPr fontId="2" type="noConversion"/>
  </si>
  <si>
    <t>C54</t>
    <phoneticPr fontId="2" type="noConversion"/>
  </si>
  <si>
    <t>D10</t>
    <phoneticPr fontId="2" type="noConversion"/>
  </si>
  <si>
    <t>Q16</t>
    <phoneticPr fontId="2" type="noConversion"/>
  </si>
  <si>
    <t>TVS6</t>
    <phoneticPr fontId="2" type="noConversion"/>
  </si>
  <si>
    <t>C57</t>
    <phoneticPr fontId="2" type="noConversion"/>
  </si>
  <si>
    <t>R55</t>
    <phoneticPr fontId="2" type="noConversion"/>
  </si>
  <si>
    <t>R56</t>
    <phoneticPr fontId="2" type="noConversion"/>
  </si>
  <si>
    <t>D14,D13</t>
    <phoneticPr fontId="2" type="noConversion"/>
  </si>
  <si>
    <t>D14,D13</t>
    <phoneticPr fontId="2" type="noConversion"/>
  </si>
  <si>
    <t>D12</t>
    <phoneticPr fontId="2" type="noConversion"/>
  </si>
  <si>
    <t>D12</t>
    <phoneticPr fontId="2" type="noConversion"/>
  </si>
  <si>
    <t>D19,D21,D24</t>
    <phoneticPr fontId="2" type="noConversion"/>
  </si>
  <si>
    <t>R71,R73</t>
    <phoneticPr fontId="2" type="noConversion"/>
  </si>
  <si>
    <t>R84,R85</t>
    <phoneticPr fontId="2" type="noConversion"/>
  </si>
  <si>
    <t>C38,C37</t>
    <phoneticPr fontId="2" type="noConversion"/>
  </si>
  <si>
    <t>C10,C4</t>
    <phoneticPr fontId="2" type="noConversion"/>
  </si>
  <si>
    <t>C29,C36</t>
    <phoneticPr fontId="2" type="noConversion"/>
  </si>
  <si>
    <t>R4,R2</t>
    <phoneticPr fontId="2" type="noConversion"/>
  </si>
  <si>
    <t>R77,R53,R8</t>
    <phoneticPr fontId="2" type="noConversion"/>
  </si>
  <si>
    <t>电池与充电器无法正常通讯握手</t>
    <phoneticPr fontId="2" type="noConversion"/>
  </si>
  <si>
    <t>PTC1,PTC3</t>
    <phoneticPr fontId="2" type="noConversion"/>
  </si>
  <si>
    <t>R9,R88,R83,R86,R90,R1,R3,R89</t>
    <phoneticPr fontId="2" type="noConversion"/>
  </si>
  <si>
    <t>D32,D1,D7,D33</t>
    <phoneticPr fontId="2" type="noConversion"/>
  </si>
  <si>
    <t>TVS1,TVS10</t>
    <phoneticPr fontId="2" type="noConversion"/>
  </si>
  <si>
    <t>Q4,Q2,Q5,Q6</t>
    <phoneticPr fontId="2" type="noConversion"/>
  </si>
  <si>
    <t>input</t>
    <phoneticPr fontId="2" type="noConversion"/>
  </si>
  <si>
    <t>电池与控制器无法正常通讯握手</t>
    <phoneticPr fontId="2" type="noConversion"/>
  </si>
  <si>
    <t>C71,C72,C87,C96,C81,C79</t>
    <phoneticPr fontId="2" type="noConversion"/>
  </si>
  <si>
    <t>C73</t>
    <phoneticPr fontId="2" type="noConversion"/>
  </si>
  <si>
    <t>电池无法通讯唤醒</t>
    <phoneticPr fontId="2" type="noConversion"/>
  </si>
  <si>
    <t>R163,R161,R160,R169,R170,R172,R168,R171</t>
    <phoneticPr fontId="2" type="noConversion"/>
  </si>
  <si>
    <t>U9</t>
    <phoneticPr fontId="2" type="noConversion"/>
  </si>
  <si>
    <t>U8</t>
    <phoneticPr fontId="2" type="noConversion"/>
  </si>
  <si>
    <t>通讯IC</t>
    <phoneticPr fontId="2" type="noConversion"/>
  </si>
  <si>
    <t>光耦</t>
    <phoneticPr fontId="2" type="noConversion"/>
  </si>
  <si>
    <t>R164,R165,R162</t>
    <phoneticPr fontId="2" type="noConversion"/>
  </si>
  <si>
    <t>D30,D29</t>
    <phoneticPr fontId="2" type="noConversion"/>
  </si>
  <si>
    <t>TVS11,TVS12,TVS14</t>
    <phoneticPr fontId="2" type="noConversion"/>
  </si>
  <si>
    <t>RT3,RT2</t>
    <phoneticPr fontId="2" type="noConversion"/>
  </si>
  <si>
    <t>NTC输出错误，采集的cell温度不准</t>
    <phoneticPr fontId="2" type="noConversion"/>
  </si>
  <si>
    <t>C41</t>
    <phoneticPr fontId="2" type="noConversion"/>
  </si>
  <si>
    <t>Q28</t>
    <phoneticPr fontId="2" type="noConversion"/>
  </si>
  <si>
    <t>Q15</t>
    <phoneticPr fontId="2" type="noConversion"/>
  </si>
  <si>
    <t>R130,R136,R174,R173</t>
    <phoneticPr fontId="2" type="noConversion"/>
  </si>
  <si>
    <t>电阻漂移，NTC的分压错误，MCU采集到错误的温度值</t>
    <phoneticPr fontId="2" type="noConversion"/>
  </si>
  <si>
    <t>电阻开路，NTC的分压错误，MCU采集到错误的温度值</t>
    <phoneticPr fontId="2" type="noConversion"/>
  </si>
  <si>
    <t>电阻开路，Q28,Q15无法打开，采集到的cell温度信号为0V,错误触发过温保护，安全失效</t>
    <phoneticPr fontId="2" type="noConversion"/>
  </si>
  <si>
    <t>电阻开路，Q28无法打开，采集到的cell温度信号为0V,错误触发过温保护，安全失效</t>
    <phoneticPr fontId="2" type="noConversion"/>
  </si>
  <si>
    <t>Q15无法打开,采集到的cell温度信号为0V,错误触发过温保护，安全失效</t>
    <phoneticPr fontId="2" type="noConversion"/>
  </si>
  <si>
    <t>D31</t>
    <phoneticPr fontId="2" type="noConversion"/>
  </si>
  <si>
    <t>C80,C69</t>
    <phoneticPr fontId="2" type="noConversion"/>
  </si>
  <si>
    <t>R117,R166,R167,R127</t>
    <phoneticPr fontId="2" type="noConversion"/>
  </si>
  <si>
    <t>AFE</t>
    <phoneticPr fontId="2" type="noConversion"/>
  </si>
  <si>
    <t>no</t>
    <phoneticPr fontId="2" type="noConversion"/>
  </si>
  <si>
    <t>LDO无法输出3.3V给单片机供电，安全失效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</si>
</sst>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00"/>
    <numFmt numFmtId="177" formatCode="0.000000000"/>
    <numFmt numFmtId="178" formatCode="0.0%"/>
  </numFmts>
  <fonts count="14" x14ac:knownFonts="1">
    <font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b/>
      <sz val="18"/>
      <name val="微软雅黑"/>
      <family val="2"/>
      <charset val="134"/>
    </font>
    <font>
      <sz val="9"/>
      <name val="宋体"/>
      <family val="3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b/>
      <sz val="14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4"/>
      <color theme="1"/>
      <name val="Arial"/>
      <family val="2"/>
    </font>
    <font>
      <sz val="14"/>
      <color theme="1"/>
      <name val="等线"/>
      <family val="3"/>
      <charset val="134"/>
    </font>
    <font>
      <sz val="14"/>
      <color rgb="FF00B0F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76" fontId="0" fillId="3" borderId="6" xfId="0" applyNumberFormat="1" applyFill="1" applyBorder="1" applyAlignment="1">
      <alignment horizontal="center"/>
    </xf>
    <xf numFmtId="0" fontId="0" fillId="3" borderId="5" xfId="0" applyFill="1" applyBorder="1"/>
    <xf numFmtId="177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3" borderId="8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0" borderId="1" xfId="0" applyNumberFormat="1" applyBorder="1"/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78" fontId="0" fillId="3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78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center" wrapText="1"/>
    </xf>
    <xf numFmtId="177" fontId="0" fillId="2" borderId="1" xfId="0" applyNumberFormat="1" applyFill="1" applyBorder="1" applyAlignment="1">
      <alignment horizontal="center" wrapText="1"/>
    </xf>
    <xf numFmtId="178" fontId="0" fillId="2" borderId="1" xfId="0" applyNumberFormat="1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10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2" borderId="6" xfId="0" applyNumberFormat="1" applyFill="1" applyBorder="1" applyAlignment="1">
      <alignment horizontal="center"/>
    </xf>
    <xf numFmtId="0" fontId="0" fillId="2" borderId="0" xfId="0" applyFill="1"/>
    <xf numFmtId="3" fontId="0" fillId="3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177" fontId="0" fillId="7" borderId="1" xfId="0" applyNumberFormat="1" applyFill="1" applyBorder="1" applyAlignment="1">
      <alignment horizontal="center"/>
    </xf>
    <xf numFmtId="0" fontId="0" fillId="7" borderId="0" xfId="0" applyFill="1"/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4" fontId="0" fillId="3" borderId="13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76" fontId="0" fillId="0" borderId="0" xfId="0" applyNumberFormat="1"/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5" fillId="0" borderId="24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4" fillId="0" borderId="2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wrapText="1"/>
    </xf>
    <xf numFmtId="0" fontId="0" fillId="5" borderId="17" xfId="0" applyFill="1" applyBorder="1" applyAlignment="1">
      <alignment horizontal="center" wrapText="1"/>
    </xf>
    <xf numFmtId="0" fontId="0" fillId="5" borderId="18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</cellXfs>
  <cellStyles count="2">
    <cellStyle name="Normal" xfId="0" builtinId="0"/>
    <cellStyle name="常规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opLeftCell="A7" workbookViewId="0">
      <selection activeCell="F32" sqref="F32"/>
    </sheetView>
  </sheetViews>
  <sheetFormatPr defaultRowHeight="14" x14ac:dyDescent="0.3"/>
  <sheetData>
    <row r="1" spans="1:11" ht="14.5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</row>
    <row r="2" spans="1:11" ht="14.5" x14ac:dyDescent="0.3">
      <c r="A2" s="86"/>
      <c r="B2" s="87"/>
      <c r="C2" s="88"/>
      <c r="D2" s="92" t="s">
        <v>97</v>
      </c>
      <c r="E2" s="93"/>
      <c r="F2" s="94"/>
      <c r="G2" s="95">
        <v>1</v>
      </c>
      <c r="H2" s="96"/>
      <c r="I2" s="96"/>
      <c r="J2" s="97"/>
      <c r="K2" s="51"/>
    </row>
    <row r="3" spans="1:11" ht="14.5" x14ac:dyDescent="0.3">
      <c r="A3" s="89"/>
      <c r="B3" s="90"/>
      <c r="C3" s="91"/>
      <c r="D3" s="92" t="s">
        <v>98</v>
      </c>
      <c r="E3" s="93"/>
      <c r="F3" s="94"/>
      <c r="G3" s="95" t="s">
        <v>142</v>
      </c>
      <c r="H3" s="96"/>
      <c r="I3" s="96"/>
      <c r="J3" s="97"/>
      <c r="K3" s="51"/>
    </row>
    <row r="4" spans="1:11" ht="14.5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1"/>
    </row>
    <row r="5" spans="1:11" ht="14.5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1"/>
    </row>
    <row r="6" spans="1:11" ht="14.5" x14ac:dyDescent="0.3">
      <c r="A6" s="52"/>
      <c r="B6" s="52"/>
      <c r="C6" s="52"/>
      <c r="D6" s="52"/>
      <c r="E6" s="52"/>
      <c r="F6" s="52"/>
      <c r="G6" s="52"/>
      <c r="H6" s="52"/>
      <c r="I6" s="52"/>
      <c r="J6" s="52"/>
      <c r="K6" s="51"/>
    </row>
    <row r="7" spans="1:11" ht="14.5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51"/>
    </row>
    <row r="8" spans="1:11" ht="14.5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1"/>
    </row>
    <row r="9" spans="1:11" ht="14.5" x14ac:dyDescent="0.3">
      <c r="A9" s="52"/>
      <c r="B9" s="84" t="s">
        <v>99</v>
      </c>
      <c r="C9" s="85"/>
      <c r="D9" s="85"/>
      <c r="E9" s="85"/>
      <c r="F9" s="85"/>
      <c r="G9" s="85"/>
      <c r="H9" s="85"/>
      <c r="I9" s="85"/>
      <c r="J9" s="52"/>
      <c r="K9" s="51"/>
    </row>
    <row r="10" spans="1:11" ht="14.5" x14ac:dyDescent="0.3">
      <c r="A10" s="52"/>
      <c r="B10" s="85"/>
      <c r="C10" s="85"/>
      <c r="D10" s="85"/>
      <c r="E10" s="85"/>
      <c r="F10" s="85"/>
      <c r="G10" s="85"/>
      <c r="H10" s="85"/>
      <c r="I10" s="85"/>
      <c r="J10" s="52"/>
      <c r="K10" s="51"/>
    </row>
    <row r="11" spans="1:11" ht="14.5" x14ac:dyDescent="0.3">
      <c r="A11" s="52"/>
      <c r="B11" s="85"/>
      <c r="C11" s="85"/>
      <c r="D11" s="85"/>
      <c r="E11" s="85"/>
      <c r="F11" s="85"/>
      <c r="G11" s="85"/>
      <c r="H11" s="85"/>
      <c r="I11" s="85"/>
      <c r="J11" s="52"/>
      <c r="K11" s="51"/>
    </row>
    <row r="12" spans="1:11" ht="14.5" x14ac:dyDescent="0.3">
      <c r="A12" s="52"/>
      <c r="B12" s="85"/>
      <c r="C12" s="85"/>
      <c r="D12" s="85"/>
      <c r="E12" s="85"/>
      <c r="F12" s="85"/>
      <c r="G12" s="85"/>
      <c r="H12" s="85"/>
      <c r="I12" s="85"/>
      <c r="J12" s="52"/>
      <c r="K12" s="51"/>
    </row>
    <row r="13" spans="1:11" ht="14.5" x14ac:dyDescent="0.3">
      <c r="A13" s="52"/>
      <c r="B13" s="85"/>
      <c r="C13" s="85"/>
      <c r="D13" s="85"/>
      <c r="E13" s="85"/>
      <c r="F13" s="85"/>
      <c r="G13" s="85"/>
      <c r="H13" s="85"/>
      <c r="I13" s="85"/>
      <c r="J13" s="52"/>
      <c r="K13" s="51"/>
    </row>
    <row r="14" spans="1:11" ht="14.5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1"/>
    </row>
    <row r="15" spans="1:11" ht="14.5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1"/>
    </row>
    <row r="16" spans="1:11" ht="14.5" x14ac:dyDescent="0.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1"/>
    </row>
    <row r="17" spans="1:11" ht="14.5" x14ac:dyDescent="0.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1"/>
    </row>
    <row r="18" spans="1:11" ht="14.5" x14ac:dyDescent="0.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1"/>
    </row>
    <row r="19" spans="1:11" ht="14.5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1"/>
    </row>
    <row r="20" spans="1:11" ht="14.5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1"/>
    </row>
    <row r="21" spans="1:11" ht="14.5" x14ac:dyDescent="0.3">
      <c r="A21" s="52"/>
      <c r="B21" s="92" t="s">
        <v>100</v>
      </c>
      <c r="C21" s="93"/>
      <c r="D21" s="94"/>
      <c r="E21" s="92"/>
      <c r="F21" s="93"/>
      <c r="G21" s="93"/>
      <c r="H21" s="94"/>
      <c r="I21" s="52"/>
      <c r="J21" s="52"/>
      <c r="K21" s="51"/>
    </row>
    <row r="22" spans="1:11" ht="14.5" x14ac:dyDescent="0.3">
      <c r="A22" s="52"/>
      <c r="B22" s="92" t="s">
        <v>101</v>
      </c>
      <c r="C22" s="93"/>
      <c r="D22" s="94"/>
      <c r="E22" s="92">
        <v>1</v>
      </c>
      <c r="F22" s="93"/>
      <c r="G22" s="93"/>
      <c r="H22" s="94"/>
      <c r="I22" s="52"/>
      <c r="J22" s="52"/>
      <c r="K22" s="51"/>
    </row>
    <row r="23" spans="1:11" ht="15" x14ac:dyDescent="0.3">
      <c r="A23" s="52"/>
      <c r="B23" s="98" t="s">
        <v>102</v>
      </c>
      <c r="C23" s="98"/>
      <c r="D23" s="98"/>
      <c r="E23" s="99"/>
      <c r="F23" s="99"/>
      <c r="G23" s="99"/>
      <c r="H23" s="99"/>
      <c r="I23" s="52"/>
      <c r="J23" s="52"/>
      <c r="K23" s="51"/>
    </row>
    <row r="24" spans="1:11" ht="15" x14ac:dyDescent="0.3">
      <c r="A24" s="52"/>
      <c r="B24" s="98" t="s">
        <v>103</v>
      </c>
      <c r="C24" s="98"/>
      <c r="D24" s="98"/>
      <c r="E24" s="99"/>
      <c r="F24" s="99"/>
      <c r="G24" s="99"/>
      <c r="H24" s="99"/>
      <c r="I24" s="52"/>
      <c r="J24" s="52"/>
      <c r="K24" s="51"/>
    </row>
    <row r="25" spans="1:11" ht="15" x14ac:dyDescent="0.3">
      <c r="A25" s="52"/>
      <c r="B25" s="98" t="s">
        <v>104</v>
      </c>
      <c r="C25" s="98"/>
      <c r="D25" s="98"/>
      <c r="E25" s="99"/>
      <c r="F25" s="99"/>
      <c r="G25" s="99"/>
      <c r="H25" s="99"/>
      <c r="I25" s="52"/>
      <c r="J25" s="52"/>
      <c r="K25" s="51"/>
    </row>
    <row r="26" spans="1:11" ht="15" x14ac:dyDescent="0.3">
      <c r="A26" s="52"/>
      <c r="B26" s="100" t="s">
        <v>105</v>
      </c>
      <c r="C26" s="100"/>
      <c r="D26" s="100"/>
      <c r="E26" s="99" t="s">
        <v>143</v>
      </c>
      <c r="F26" s="99"/>
      <c r="G26" s="99"/>
      <c r="H26" s="99"/>
      <c r="I26" s="52"/>
      <c r="J26" s="52"/>
      <c r="K26" s="51"/>
    </row>
    <row r="27" spans="1:11" ht="14.5" x14ac:dyDescent="0.3">
      <c r="A27" s="52" t="s">
        <v>106</v>
      </c>
      <c r="B27" s="99" t="s">
        <v>107</v>
      </c>
      <c r="C27" s="99"/>
      <c r="D27" s="99"/>
      <c r="E27" s="92" t="s">
        <v>144</v>
      </c>
      <c r="F27" s="93"/>
      <c r="G27" s="93"/>
      <c r="H27" s="94"/>
      <c r="I27" s="52"/>
      <c r="J27" s="52"/>
      <c r="K27" s="51"/>
    </row>
    <row r="28" spans="1:11" ht="14.5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1"/>
    </row>
    <row r="29" spans="1:11" ht="14.5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1"/>
    </row>
    <row r="30" spans="1:11" ht="14.5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1"/>
    </row>
    <row r="31" spans="1:11" ht="14.5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1"/>
    </row>
    <row r="32" spans="1:11" ht="14.5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1"/>
    </row>
    <row r="33" spans="1:11" ht="14.5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1"/>
    </row>
    <row r="34" spans="1:11" ht="15" thickBot="1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4"/>
    </row>
  </sheetData>
  <mergeCells count="20">
    <mergeCell ref="B27:D27"/>
    <mergeCell ref="E27:H27"/>
    <mergeCell ref="B24:D24"/>
    <mergeCell ref="E24:H24"/>
    <mergeCell ref="B25:D25"/>
    <mergeCell ref="E25:H25"/>
    <mergeCell ref="B26:D26"/>
    <mergeCell ref="E26:H26"/>
    <mergeCell ref="B21:D21"/>
    <mergeCell ref="E21:H21"/>
    <mergeCell ref="B22:D22"/>
    <mergeCell ref="E22:H22"/>
    <mergeCell ref="B23:D23"/>
    <mergeCell ref="E23:H23"/>
    <mergeCell ref="B9:I13"/>
    <mergeCell ref="A2:C3"/>
    <mergeCell ref="D2:F2"/>
    <mergeCell ref="G2:J2"/>
    <mergeCell ref="D3:F3"/>
    <mergeCell ref="G3:J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12"/>
  <sheetViews>
    <sheetView workbookViewId="0">
      <selection activeCell="F7" sqref="F7"/>
    </sheetView>
  </sheetViews>
  <sheetFormatPr defaultRowHeight="14" x14ac:dyDescent="0.3"/>
  <cols>
    <col min="3" max="3" width="15.4140625" customWidth="1"/>
  </cols>
  <sheetData>
    <row r="5" spans="2:7" ht="18" thickBot="1" x14ac:dyDescent="0.35">
      <c r="B5" s="55" t="s">
        <v>108</v>
      </c>
      <c r="C5" s="56"/>
      <c r="D5" s="56"/>
      <c r="E5" s="56"/>
      <c r="F5" s="56"/>
      <c r="G5" s="56"/>
    </row>
    <row r="6" spans="2:7" ht="31.5" thickBot="1" x14ac:dyDescent="0.35">
      <c r="B6" s="57" t="s">
        <v>109</v>
      </c>
      <c r="C6" s="58" t="s">
        <v>110</v>
      </c>
      <c r="D6" s="58" t="s">
        <v>111</v>
      </c>
      <c r="E6" s="58" t="s">
        <v>112</v>
      </c>
      <c r="F6" s="58" t="s">
        <v>113</v>
      </c>
      <c r="G6" s="58" t="s">
        <v>114</v>
      </c>
    </row>
    <row r="7" spans="2:7" ht="18" thickBot="1" x14ac:dyDescent="0.35">
      <c r="B7" s="59"/>
      <c r="C7" s="60"/>
      <c r="D7" s="61"/>
      <c r="E7" s="61"/>
      <c r="F7" s="62" t="s">
        <v>115</v>
      </c>
      <c r="G7" s="60"/>
    </row>
    <row r="8" spans="2:7" ht="18" thickBot="1" x14ac:dyDescent="0.35">
      <c r="B8" s="59"/>
      <c r="C8" s="60"/>
      <c r="D8" s="60"/>
      <c r="E8" s="60"/>
      <c r="F8" s="60"/>
      <c r="G8" s="60"/>
    </row>
    <row r="9" spans="2:7" ht="18" thickBot="1" x14ac:dyDescent="0.35">
      <c r="B9" s="59"/>
      <c r="C9" s="60"/>
      <c r="D9" s="60"/>
      <c r="E9" s="60"/>
      <c r="F9" s="60"/>
      <c r="G9" s="60"/>
    </row>
    <row r="10" spans="2:7" ht="18" thickBot="1" x14ac:dyDescent="0.35">
      <c r="B10" s="59"/>
      <c r="C10" s="60"/>
      <c r="D10" s="60"/>
      <c r="E10" s="60"/>
      <c r="F10" s="60"/>
      <c r="G10" s="60"/>
    </row>
    <row r="11" spans="2:7" ht="18" thickBot="1" x14ac:dyDescent="0.35">
      <c r="B11" s="59"/>
      <c r="C11" s="60"/>
      <c r="D11" s="60"/>
      <c r="E11" s="60"/>
      <c r="F11" s="60"/>
      <c r="G11" s="60"/>
    </row>
    <row r="12" spans="2:7" ht="17.5" x14ac:dyDescent="0.3">
      <c r="B12" s="63" t="s">
        <v>116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224"/>
  <sheetViews>
    <sheetView showGridLines="0" topLeftCell="A193" zoomScale="85" zoomScaleNormal="85" workbookViewId="0">
      <selection activeCell="C221" sqref="C221"/>
    </sheetView>
  </sheetViews>
  <sheetFormatPr defaultRowHeight="14" outlineLevelRow="3" x14ac:dyDescent="0.3"/>
  <cols>
    <col min="1" max="1" width="41.58203125" customWidth="1"/>
    <col min="2" max="2" width="17.25" customWidth="1"/>
    <col min="3" max="3" width="20.33203125" customWidth="1"/>
    <col min="4" max="7" width="22.75" customWidth="1"/>
    <col min="8" max="10" width="26.75" customWidth="1"/>
    <col min="11" max="11" width="29.08203125" customWidth="1"/>
    <col min="12" max="12" width="12" bestFit="1" customWidth="1"/>
    <col min="15" max="15" width="15.6640625" bestFit="1" customWidth="1"/>
  </cols>
  <sheetData>
    <row r="1" spans="1:15" ht="17.5" outlineLevel="1" x14ac:dyDescent="0.3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5" ht="17.5" outlineLevel="2" x14ac:dyDescent="0.35">
      <c r="A2" s="127" t="s">
        <v>263</v>
      </c>
      <c r="B2" s="128"/>
      <c r="C2" s="128"/>
      <c r="D2" s="128"/>
      <c r="E2" s="128"/>
      <c r="F2" s="128"/>
      <c r="G2" s="128"/>
      <c r="H2" s="128"/>
      <c r="I2" s="128"/>
      <c r="J2" s="128"/>
      <c r="K2" s="129"/>
    </row>
    <row r="3" spans="1:15" outlineLevel="3" x14ac:dyDescent="0.3">
      <c r="A3" s="31" t="s">
        <v>13</v>
      </c>
      <c r="B3" s="32" t="s">
        <v>4</v>
      </c>
      <c r="C3" s="32" t="s">
        <v>5</v>
      </c>
      <c r="D3" s="32" t="s">
        <v>12</v>
      </c>
      <c r="E3" s="32" t="s">
        <v>19</v>
      </c>
      <c r="F3" s="32" t="s">
        <v>26</v>
      </c>
      <c r="G3" s="32" t="s">
        <v>21</v>
      </c>
      <c r="H3" s="32" t="s">
        <v>6</v>
      </c>
      <c r="I3" s="32" t="s">
        <v>14</v>
      </c>
      <c r="J3" s="32" t="s">
        <v>15</v>
      </c>
      <c r="K3" s="33" t="s">
        <v>16</v>
      </c>
    </row>
    <row r="4" spans="1:15" ht="28" outlineLevel="3" x14ac:dyDescent="0.3">
      <c r="A4" s="121" t="s">
        <v>151</v>
      </c>
      <c r="B4" s="123" t="s">
        <v>7</v>
      </c>
      <c r="C4" s="27">
        <v>14</v>
      </c>
      <c r="D4" s="27">
        <v>114155</v>
      </c>
      <c r="E4" s="4" t="s">
        <v>20</v>
      </c>
      <c r="F4" s="4" t="s">
        <v>27</v>
      </c>
      <c r="G4" s="26" t="s">
        <v>22</v>
      </c>
      <c r="H4" s="5">
        <v>0.7</v>
      </c>
      <c r="I4" s="4">
        <f t="shared" ref="I4:I9" si="0">IF(F4="yes",D4/H4,0)</f>
        <v>163078.57142857145</v>
      </c>
      <c r="J4" s="6">
        <f t="shared" ref="J4:J9" si="1">IF(I4= 0,0,1/I4)</f>
        <v>6.1320134904296781E-6</v>
      </c>
      <c r="K4" s="15">
        <f t="shared" ref="K4:K9" si="2">J4*C4</f>
        <v>8.5848188866015487E-5</v>
      </c>
      <c r="L4">
        <f>1/(D4*365*24*0.000000001)</f>
        <v>1.0000022000048399</v>
      </c>
      <c r="M4">
        <f>1000000000/(C4*L4*H4*365*24)</f>
        <v>11648.469387755104</v>
      </c>
      <c r="N4">
        <f>1/M4</f>
        <v>8.5848188866015501E-5</v>
      </c>
    </row>
    <row r="5" spans="1:15" outlineLevel="3" x14ac:dyDescent="0.3">
      <c r="A5" s="122"/>
      <c r="B5" s="124"/>
      <c r="C5" s="27">
        <v>14</v>
      </c>
      <c r="D5" s="27">
        <v>114155</v>
      </c>
      <c r="E5" s="4" t="s">
        <v>24</v>
      </c>
      <c r="F5" s="4" t="s">
        <v>28</v>
      </c>
      <c r="G5" s="26" t="s">
        <v>25</v>
      </c>
      <c r="H5" s="5">
        <v>0.3</v>
      </c>
      <c r="I5" s="4">
        <f t="shared" si="0"/>
        <v>0</v>
      </c>
      <c r="J5" s="6">
        <f t="shared" si="1"/>
        <v>0</v>
      </c>
      <c r="K5" s="15">
        <f t="shared" si="2"/>
        <v>0</v>
      </c>
    </row>
    <row r="6" spans="1:15" ht="28" outlineLevel="3" x14ac:dyDescent="0.3">
      <c r="A6" s="121" t="s">
        <v>149</v>
      </c>
      <c r="B6" s="123" t="s">
        <v>117</v>
      </c>
      <c r="C6" s="27">
        <v>14</v>
      </c>
      <c r="D6" s="27">
        <v>1750.2650000000001</v>
      </c>
      <c r="E6" s="4" t="s">
        <v>20</v>
      </c>
      <c r="F6" s="4" t="s">
        <v>27</v>
      </c>
      <c r="G6" s="26" t="s">
        <v>23</v>
      </c>
      <c r="H6" s="5">
        <v>0.5</v>
      </c>
      <c r="I6" s="4">
        <f t="shared" si="0"/>
        <v>3500.53</v>
      </c>
      <c r="J6" s="6">
        <f t="shared" si="1"/>
        <v>2.8567102695877482E-4</v>
      </c>
      <c r="K6" s="15">
        <f t="shared" si="2"/>
        <v>3.9993943774228472E-3</v>
      </c>
      <c r="L6">
        <f>1/(D6*365*24*0.000000001)</f>
        <v>65.221695652688297</v>
      </c>
      <c r="M6">
        <f>1000000000/(C6*L6*H6*365*24)</f>
        <v>250.03785714285723</v>
      </c>
      <c r="N6">
        <f>1/M6</f>
        <v>3.9993943774228463E-3</v>
      </c>
    </row>
    <row r="7" spans="1:15" outlineLevel="3" x14ac:dyDescent="0.3">
      <c r="A7" s="122"/>
      <c r="B7" s="124"/>
      <c r="C7" s="25">
        <v>14</v>
      </c>
      <c r="D7" s="27">
        <v>1750.2650000000001</v>
      </c>
      <c r="E7" s="4" t="s">
        <v>29</v>
      </c>
      <c r="F7" s="4" t="s">
        <v>28</v>
      </c>
      <c r="G7" s="26" t="s">
        <v>25</v>
      </c>
      <c r="H7" s="5">
        <v>0.5</v>
      </c>
      <c r="I7" s="4">
        <f t="shared" si="0"/>
        <v>0</v>
      </c>
      <c r="J7" s="6">
        <f t="shared" si="1"/>
        <v>0</v>
      </c>
      <c r="K7" s="15">
        <f t="shared" si="2"/>
        <v>0</v>
      </c>
    </row>
    <row r="8" spans="1:15" outlineLevel="3" x14ac:dyDescent="0.3">
      <c r="A8" s="121" t="s">
        <v>150</v>
      </c>
      <c r="B8" s="123" t="s">
        <v>8</v>
      </c>
      <c r="C8" s="4">
        <v>14</v>
      </c>
      <c r="D8" s="28">
        <v>22831</v>
      </c>
      <c r="E8" s="4" t="s">
        <v>30</v>
      </c>
      <c r="F8" s="4" t="s">
        <v>28</v>
      </c>
      <c r="G8" s="26" t="s">
        <v>25</v>
      </c>
      <c r="H8" s="5">
        <v>0.5</v>
      </c>
      <c r="I8" s="4">
        <f t="shared" si="0"/>
        <v>0</v>
      </c>
      <c r="J8" s="6">
        <f t="shared" si="1"/>
        <v>0</v>
      </c>
      <c r="K8" s="15">
        <f t="shared" si="2"/>
        <v>0</v>
      </c>
    </row>
    <row r="9" spans="1:15" ht="28" outlineLevel="3" x14ac:dyDescent="0.3">
      <c r="A9" s="122"/>
      <c r="B9" s="124"/>
      <c r="C9" s="29">
        <v>14</v>
      </c>
      <c r="D9" s="28">
        <v>22831</v>
      </c>
      <c r="E9" s="4" t="s">
        <v>29</v>
      </c>
      <c r="F9" s="4" t="s">
        <v>27</v>
      </c>
      <c r="G9" s="26" t="s">
        <v>31</v>
      </c>
      <c r="H9" s="5">
        <v>0.5</v>
      </c>
      <c r="I9" s="4">
        <f t="shared" si="0"/>
        <v>45662</v>
      </c>
      <c r="J9" s="6">
        <f t="shared" si="1"/>
        <v>2.1900048180105996E-5</v>
      </c>
      <c r="K9" s="15">
        <f t="shared" si="2"/>
        <v>3.0660067452148394E-4</v>
      </c>
      <c r="L9">
        <f>1/(D9*365*24*0.000000001)</f>
        <v>5.0000110000242</v>
      </c>
      <c r="M9">
        <f>1000000000/(C9*L9*H9*365*24)</f>
        <v>3261.5714285714284</v>
      </c>
      <c r="N9">
        <f>1/M9</f>
        <v>3.0660067452148394E-4</v>
      </c>
    </row>
    <row r="10" spans="1:15" outlineLevel="3" x14ac:dyDescent="0.3">
      <c r="A10" s="13"/>
      <c r="B10" s="4"/>
      <c r="C10" s="4"/>
      <c r="D10" s="4"/>
      <c r="E10" s="4"/>
      <c r="F10" s="4"/>
      <c r="G10" s="4"/>
      <c r="H10" s="4"/>
      <c r="I10" s="4"/>
      <c r="J10" s="6"/>
      <c r="K10" s="22">
        <f>1/SUM(K4:K9)</f>
        <v>227.69482997655635</v>
      </c>
      <c r="L10">
        <f>1/K10</f>
        <v>4.3918432408103459E-3</v>
      </c>
      <c r="M10">
        <v>0.9</v>
      </c>
      <c r="N10">
        <f>L10*M10</f>
        <v>3.9526589167293118E-3</v>
      </c>
      <c r="O10" s="83">
        <f>SUM(K4:K9)</f>
        <v>4.3918432408103459E-3</v>
      </c>
    </row>
    <row r="11" spans="1:15" ht="17.5" outlineLevel="2" x14ac:dyDescent="0.35">
      <c r="A11" s="127" t="s">
        <v>141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9"/>
    </row>
    <row r="12" spans="1:15" outlineLevel="3" x14ac:dyDescent="0.3">
      <c r="A12" s="31" t="s">
        <v>13</v>
      </c>
      <c r="B12" s="32" t="s">
        <v>4</v>
      </c>
      <c r="C12" s="32" t="s">
        <v>5</v>
      </c>
      <c r="D12" s="32" t="s">
        <v>12</v>
      </c>
      <c r="E12" s="32" t="s">
        <v>19</v>
      </c>
      <c r="F12" s="32" t="s">
        <v>26</v>
      </c>
      <c r="G12" s="32" t="s">
        <v>21</v>
      </c>
      <c r="H12" s="32" t="s">
        <v>6</v>
      </c>
      <c r="I12" s="32" t="s">
        <v>14</v>
      </c>
      <c r="J12" s="32" t="s">
        <v>15</v>
      </c>
      <c r="K12" s="33" t="s">
        <v>16</v>
      </c>
    </row>
    <row r="13" spans="1:15" outlineLevel="3" x14ac:dyDescent="0.3">
      <c r="A13" s="24" t="s">
        <v>152</v>
      </c>
      <c r="B13" s="25" t="s">
        <v>290</v>
      </c>
      <c r="C13" s="29">
        <v>1</v>
      </c>
      <c r="D13" s="4">
        <v>1426.9</v>
      </c>
      <c r="E13" s="4"/>
      <c r="F13" s="4" t="s">
        <v>27</v>
      </c>
      <c r="G13" s="26" t="s">
        <v>33</v>
      </c>
      <c r="H13" s="5">
        <v>1</v>
      </c>
      <c r="I13" s="4">
        <f>IF(F13="yes",D13/H13,0)</f>
        <v>1426.9</v>
      </c>
      <c r="J13" s="6">
        <f t="shared" ref="J13:J51" si="3">IF(I13= 0,0,1/I13)</f>
        <v>7.0081995935244231E-4</v>
      </c>
      <c r="K13" s="15">
        <f t="shared" ref="K13:K51" si="4">J13*C13</f>
        <v>7.0081995935244231E-4</v>
      </c>
      <c r="L13">
        <f>IF(F13="yes",1/(D13*365*24*0.000000001),0)</f>
        <v>80.002278464890665</v>
      </c>
      <c r="M13">
        <f>1000000000/(C13*L13*H13*365*24)</f>
        <v>1426.9</v>
      </c>
      <c r="N13">
        <f>1/M13</f>
        <v>7.0081995935244231E-4</v>
      </c>
    </row>
    <row r="14" spans="1:15" ht="28" outlineLevel="3" x14ac:dyDescent="0.3">
      <c r="A14" s="121" t="s">
        <v>154</v>
      </c>
      <c r="B14" s="123" t="s">
        <v>9</v>
      </c>
      <c r="C14" s="29">
        <v>2</v>
      </c>
      <c r="D14" s="4">
        <v>114155</v>
      </c>
      <c r="E14" s="4" t="s">
        <v>178</v>
      </c>
      <c r="F14" s="4" t="s">
        <v>27</v>
      </c>
      <c r="G14" s="26" t="s">
        <v>34</v>
      </c>
      <c r="H14" s="5">
        <v>0.5</v>
      </c>
      <c r="I14" s="4">
        <f t="shared" ref="I14:I51" si="5">IF(F14="yes",D14/H14,0)</f>
        <v>228310</v>
      </c>
      <c r="J14" s="6">
        <f t="shared" si="3"/>
        <v>4.3800096360211989E-6</v>
      </c>
      <c r="K14" s="15">
        <f t="shared" si="4"/>
        <v>8.7600192720423978E-6</v>
      </c>
      <c r="L14">
        <f t="shared" ref="L14:L85" si="6">IF(F14="yes",1/(D14*365*24*0.000000001),0)</f>
        <v>1.0000022000048399</v>
      </c>
      <c r="M14">
        <f t="shared" ref="M14:M85" si="7">1000000000/(C14*L14*H14*365*24)</f>
        <v>114155.00000000003</v>
      </c>
      <c r="N14">
        <f t="shared" ref="N14:N51" si="8">1/M14</f>
        <v>8.7600192720423961E-6</v>
      </c>
    </row>
    <row r="15" spans="1:15" outlineLevel="3" x14ac:dyDescent="0.3">
      <c r="A15" s="122"/>
      <c r="B15" s="124"/>
      <c r="C15" s="29">
        <v>2</v>
      </c>
      <c r="D15" s="4">
        <v>114155</v>
      </c>
      <c r="E15" s="4" t="s">
        <v>29</v>
      </c>
      <c r="F15" s="4" t="s">
        <v>28</v>
      </c>
      <c r="G15" s="26" t="s">
        <v>25</v>
      </c>
      <c r="H15" s="5">
        <v>0.5</v>
      </c>
      <c r="I15" s="4">
        <f t="shared" si="5"/>
        <v>0</v>
      </c>
      <c r="J15" s="6">
        <f t="shared" si="3"/>
        <v>0</v>
      </c>
      <c r="K15" s="15">
        <f t="shared" si="4"/>
        <v>0</v>
      </c>
      <c r="L15">
        <f t="shared" si="6"/>
        <v>0</v>
      </c>
      <c r="M15" t="e">
        <f t="shared" si="7"/>
        <v>#DIV/0!</v>
      </c>
      <c r="N15" t="e">
        <f t="shared" si="8"/>
        <v>#DIV/0!</v>
      </c>
    </row>
    <row r="16" spans="1:15" outlineLevel="3" x14ac:dyDescent="0.3">
      <c r="A16" s="121" t="s">
        <v>155</v>
      </c>
      <c r="B16" s="123" t="s">
        <v>191</v>
      </c>
      <c r="C16" s="29">
        <v>2</v>
      </c>
      <c r="D16" s="4">
        <v>16308</v>
      </c>
      <c r="E16" s="4" t="s">
        <v>30</v>
      </c>
      <c r="F16" s="4" t="s">
        <v>157</v>
      </c>
      <c r="G16" s="26" t="s">
        <v>183</v>
      </c>
      <c r="H16" s="5">
        <v>0.5</v>
      </c>
      <c r="I16" s="4">
        <f t="shared" ref="I16:I17" si="9">IF(F16="yes",D16/H16,0)</f>
        <v>0</v>
      </c>
      <c r="J16" s="6">
        <f t="shared" ref="J16:J17" si="10">IF(I16= 0,0,1/I16)</f>
        <v>0</v>
      </c>
      <c r="K16" s="15">
        <f t="shared" ref="K16:K17" si="11">J16*C16</f>
        <v>0</v>
      </c>
      <c r="L16">
        <f t="shared" ref="L16:L17" si="12">IF(F16="yes",1/(D16*365*24*0.000000001),0)</f>
        <v>0</v>
      </c>
      <c r="M16" t="e">
        <f t="shared" ref="M16:M17" si="13">1000000000/(C16*L16*H16*365*24)</f>
        <v>#DIV/0!</v>
      </c>
      <c r="N16" t="e">
        <f t="shared" ref="N16:N17" si="14">1/M16</f>
        <v>#DIV/0!</v>
      </c>
    </row>
    <row r="17" spans="1:14" ht="28" outlineLevel="3" x14ac:dyDescent="0.3">
      <c r="A17" s="122"/>
      <c r="B17" s="124"/>
      <c r="C17" s="29">
        <v>2</v>
      </c>
      <c r="D17" s="4">
        <v>16308</v>
      </c>
      <c r="E17" s="4" t="s">
        <v>29</v>
      </c>
      <c r="F17" s="4" t="s">
        <v>156</v>
      </c>
      <c r="G17" s="26" t="s">
        <v>182</v>
      </c>
      <c r="H17" s="5">
        <v>0.5</v>
      </c>
      <c r="I17" s="4">
        <f t="shared" si="9"/>
        <v>32616</v>
      </c>
      <c r="J17" s="6">
        <f t="shared" si="10"/>
        <v>3.0659798871719399E-5</v>
      </c>
      <c r="K17" s="15">
        <f t="shared" si="11"/>
        <v>6.1319597743438798E-5</v>
      </c>
      <c r="L17">
        <f t="shared" si="12"/>
        <v>6.999954080301233</v>
      </c>
      <c r="M17">
        <f t="shared" si="13"/>
        <v>16308</v>
      </c>
      <c r="N17">
        <f t="shared" si="14"/>
        <v>6.1319597743438798E-5</v>
      </c>
    </row>
    <row r="18" spans="1:14" ht="28" outlineLevel="3" x14ac:dyDescent="0.3">
      <c r="A18" s="121" t="s">
        <v>153</v>
      </c>
      <c r="B18" s="123" t="s">
        <v>7</v>
      </c>
      <c r="C18" s="29">
        <v>1</v>
      </c>
      <c r="D18" s="27">
        <v>114155</v>
      </c>
      <c r="E18" s="4" t="s">
        <v>30</v>
      </c>
      <c r="F18" s="4" t="s">
        <v>27</v>
      </c>
      <c r="G18" s="26" t="s">
        <v>35</v>
      </c>
      <c r="H18" s="5">
        <v>0.7</v>
      </c>
      <c r="I18" s="4">
        <f t="shared" si="5"/>
        <v>163078.57142857145</v>
      </c>
      <c r="J18" s="6">
        <f t="shared" si="3"/>
        <v>6.1320134904296781E-6</v>
      </c>
      <c r="K18" s="15">
        <f t="shared" si="4"/>
        <v>6.1320134904296781E-6</v>
      </c>
      <c r="L18">
        <f t="shared" si="6"/>
        <v>1.0000022000048399</v>
      </c>
      <c r="M18">
        <f t="shared" si="7"/>
        <v>163078.57142857148</v>
      </c>
      <c r="N18">
        <f t="shared" si="8"/>
        <v>6.1320134904296773E-6</v>
      </c>
    </row>
    <row r="19" spans="1:14" outlineLevel="3" x14ac:dyDescent="0.3">
      <c r="A19" s="122"/>
      <c r="B19" s="124"/>
      <c r="C19" s="29">
        <v>1</v>
      </c>
      <c r="D19" s="27">
        <v>114155</v>
      </c>
      <c r="E19" s="4" t="s">
        <v>24</v>
      </c>
      <c r="F19" s="4" t="s">
        <v>28</v>
      </c>
      <c r="G19" s="26" t="s">
        <v>25</v>
      </c>
      <c r="H19" s="5">
        <v>0.3</v>
      </c>
      <c r="I19" s="4">
        <f t="shared" si="5"/>
        <v>0</v>
      </c>
      <c r="J19" s="6">
        <f t="shared" si="3"/>
        <v>0</v>
      </c>
      <c r="K19" s="15">
        <f t="shared" si="4"/>
        <v>0</v>
      </c>
      <c r="L19">
        <f t="shared" si="6"/>
        <v>0</v>
      </c>
      <c r="M19" t="e">
        <f t="shared" si="7"/>
        <v>#DIV/0!</v>
      </c>
      <c r="N19" t="e">
        <f t="shared" si="8"/>
        <v>#DIV/0!</v>
      </c>
    </row>
    <row r="20" spans="1:14" ht="28" outlineLevel="3" x14ac:dyDescent="0.3">
      <c r="A20" s="121" t="s">
        <v>159</v>
      </c>
      <c r="B20" s="123" t="s">
        <v>7</v>
      </c>
      <c r="C20" s="29">
        <v>3</v>
      </c>
      <c r="D20" s="27">
        <v>114155</v>
      </c>
      <c r="E20" s="4" t="s">
        <v>30</v>
      </c>
      <c r="F20" s="4" t="s">
        <v>27</v>
      </c>
      <c r="G20" s="26" t="s">
        <v>35</v>
      </c>
      <c r="H20" s="5">
        <v>0.7</v>
      </c>
      <c r="I20" s="4">
        <f t="shared" ref="I20:I21" si="15">IF(F20="yes",D20/H20,0)</f>
        <v>163078.57142857145</v>
      </c>
      <c r="J20" s="6">
        <f t="shared" ref="J20:J21" si="16">IF(I20= 0,0,1/I20)</f>
        <v>6.1320134904296781E-6</v>
      </c>
      <c r="K20" s="15">
        <f t="shared" ref="K20:K21" si="17">J20*C20</f>
        <v>1.8396040471289034E-5</v>
      </c>
      <c r="L20">
        <f t="shared" ref="L20:L21" si="18">IF(F20="yes",1/(D20*365*24*0.000000001),0)</f>
        <v>1.0000022000048399</v>
      </c>
      <c r="M20">
        <f t="shared" ref="M20:M21" si="19">1000000000/(C20*L20*H20*365*24)</f>
        <v>54359.523809523816</v>
      </c>
      <c r="N20">
        <f t="shared" ref="N20:N21" si="20">1/M20</f>
        <v>1.8396040471289034E-5</v>
      </c>
    </row>
    <row r="21" spans="1:14" outlineLevel="3" x14ac:dyDescent="0.3">
      <c r="A21" s="122"/>
      <c r="B21" s="124"/>
      <c r="C21" s="29">
        <v>3</v>
      </c>
      <c r="D21" s="27">
        <v>114155</v>
      </c>
      <c r="E21" s="4" t="s">
        <v>24</v>
      </c>
      <c r="F21" s="4" t="s">
        <v>28</v>
      </c>
      <c r="G21" s="26" t="s">
        <v>25</v>
      </c>
      <c r="H21" s="5">
        <v>0.3</v>
      </c>
      <c r="I21" s="4">
        <f t="shared" si="15"/>
        <v>0</v>
      </c>
      <c r="J21" s="6">
        <f t="shared" si="16"/>
        <v>0</v>
      </c>
      <c r="K21" s="15">
        <f t="shared" si="17"/>
        <v>0</v>
      </c>
      <c r="L21">
        <f t="shared" si="18"/>
        <v>0</v>
      </c>
      <c r="M21" t="e">
        <f t="shared" si="19"/>
        <v>#DIV/0!</v>
      </c>
      <c r="N21" t="e">
        <f t="shared" si="20"/>
        <v>#DIV/0!</v>
      </c>
    </row>
    <row r="22" spans="1:14" ht="28" outlineLevel="3" x14ac:dyDescent="0.3">
      <c r="A22" s="121" t="s">
        <v>158</v>
      </c>
      <c r="B22" s="123" t="s">
        <v>7</v>
      </c>
      <c r="C22" s="29">
        <v>2</v>
      </c>
      <c r="D22" s="4">
        <v>57305.9</v>
      </c>
      <c r="E22" s="4" t="s">
        <v>30</v>
      </c>
      <c r="F22" s="4" t="s">
        <v>27</v>
      </c>
      <c r="G22" s="26" t="s">
        <v>35</v>
      </c>
      <c r="H22" s="5">
        <v>0.7</v>
      </c>
      <c r="I22" s="4">
        <f t="shared" ref="I22:I23" si="21">IF(F22="yes",D22/H22,0)</f>
        <v>81865.571428571435</v>
      </c>
      <c r="J22" s="6">
        <f t="shared" ref="J22:J23" si="22">IF(I22= 0,0,1/I22)</f>
        <v>1.2215147131447197E-5</v>
      </c>
      <c r="K22" s="15">
        <f t="shared" ref="K22:K23" si="23">J22*C22</f>
        <v>2.4430294262894394E-5</v>
      </c>
      <c r="L22">
        <f t="shared" ref="L22:L23" si="24">IF(F22="yes",1/(D22*365*24*0.000000001),0)</f>
        <v>1.9920331264590994</v>
      </c>
      <c r="M22">
        <f t="shared" ref="M22:M23" si="25">1000000000/(C22*L22*H22*365*24)</f>
        <v>40932.785714285717</v>
      </c>
      <c r="N22">
        <f t="shared" ref="N22:N23" si="26">1/M22</f>
        <v>2.4430294262894394E-5</v>
      </c>
    </row>
    <row r="23" spans="1:14" outlineLevel="3" x14ac:dyDescent="0.3">
      <c r="A23" s="122"/>
      <c r="B23" s="124"/>
      <c r="C23" s="29">
        <v>2</v>
      </c>
      <c r="D23" s="4">
        <v>57305.9</v>
      </c>
      <c r="E23" s="4" t="s">
        <v>24</v>
      </c>
      <c r="F23" s="4" t="s">
        <v>28</v>
      </c>
      <c r="G23" s="26" t="s">
        <v>25</v>
      </c>
      <c r="H23" s="5">
        <v>0.3</v>
      </c>
      <c r="I23" s="4">
        <f t="shared" si="21"/>
        <v>0</v>
      </c>
      <c r="J23" s="6">
        <f t="shared" si="22"/>
        <v>0</v>
      </c>
      <c r="K23" s="15">
        <f t="shared" si="23"/>
        <v>0</v>
      </c>
      <c r="L23">
        <f t="shared" si="24"/>
        <v>0</v>
      </c>
      <c r="M23" t="e">
        <f t="shared" si="25"/>
        <v>#DIV/0!</v>
      </c>
      <c r="N23" t="e">
        <f t="shared" si="26"/>
        <v>#DIV/0!</v>
      </c>
    </row>
    <row r="24" spans="1:14" outlineLevel="3" x14ac:dyDescent="0.3">
      <c r="A24" s="121" t="s">
        <v>160</v>
      </c>
      <c r="B24" s="123" t="s">
        <v>8</v>
      </c>
      <c r="C24" s="29">
        <v>3</v>
      </c>
      <c r="D24" s="28">
        <v>22831</v>
      </c>
      <c r="E24" s="4" t="s">
        <v>20</v>
      </c>
      <c r="F24" s="4" t="s">
        <v>28</v>
      </c>
      <c r="G24" s="26" t="s">
        <v>25</v>
      </c>
      <c r="H24" s="5">
        <v>0.5</v>
      </c>
      <c r="I24" s="4">
        <f t="shared" si="5"/>
        <v>0</v>
      </c>
      <c r="J24" s="6">
        <f t="shared" si="3"/>
        <v>0</v>
      </c>
      <c r="K24" s="15">
        <f t="shared" si="4"/>
        <v>0</v>
      </c>
      <c r="L24">
        <f t="shared" si="6"/>
        <v>0</v>
      </c>
      <c r="M24" t="e">
        <f t="shared" si="7"/>
        <v>#DIV/0!</v>
      </c>
      <c r="N24" t="e">
        <f t="shared" si="8"/>
        <v>#DIV/0!</v>
      </c>
    </row>
    <row r="25" spans="1:14" ht="28" outlineLevel="3" x14ac:dyDescent="0.3">
      <c r="A25" s="122"/>
      <c r="B25" s="124"/>
      <c r="C25" s="29">
        <v>3</v>
      </c>
      <c r="D25" s="28">
        <v>22831</v>
      </c>
      <c r="E25" s="4" t="s">
        <v>29</v>
      </c>
      <c r="F25" s="4" t="s">
        <v>27</v>
      </c>
      <c r="G25" s="26" t="s">
        <v>184</v>
      </c>
      <c r="H25" s="5">
        <v>0.5</v>
      </c>
      <c r="I25" s="4">
        <f t="shared" si="5"/>
        <v>45662</v>
      </c>
      <c r="J25" s="6">
        <f t="shared" si="3"/>
        <v>2.1900048180105996E-5</v>
      </c>
      <c r="K25" s="15">
        <f t="shared" si="4"/>
        <v>6.5700144540317985E-5</v>
      </c>
      <c r="L25">
        <f t="shared" si="6"/>
        <v>5.0000110000242</v>
      </c>
      <c r="M25">
        <f t="shared" si="7"/>
        <v>15220.666666666668</v>
      </c>
      <c r="N25">
        <f t="shared" si="8"/>
        <v>6.5700144540317985E-5</v>
      </c>
    </row>
    <row r="26" spans="1:14" outlineLevel="3" x14ac:dyDescent="0.3">
      <c r="A26" s="121" t="s">
        <v>161</v>
      </c>
      <c r="B26" s="123" t="s">
        <v>8</v>
      </c>
      <c r="C26" s="29">
        <v>1</v>
      </c>
      <c r="D26" s="28">
        <v>22831</v>
      </c>
      <c r="E26" s="4" t="s">
        <v>20</v>
      </c>
      <c r="F26" s="4" t="s">
        <v>27</v>
      </c>
      <c r="G26" s="26" t="s">
        <v>25</v>
      </c>
      <c r="H26" s="5">
        <v>0.5</v>
      </c>
      <c r="I26" s="4">
        <f t="shared" ref="I26:I31" si="27">IF(F26="yes",D26/H26,0)</f>
        <v>45662</v>
      </c>
      <c r="J26" s="6">
        <f t="shared" ref="J26:J31" si="28">IF(I26= 0,0,1/I26)</f>
        <v>2.1900048180105996E-5</v>
      </c>
      <c r="K26" s="15">
        <f t="shared" ref="K26:K31" si="29">J26*C26</f>
        <v>2.1900048180105996E-5</v>
      </c>
      <c r="L26">
        <f t="shared" ref="L26:L31" si="30">IF(F26="yes",1/(D26*365*24*0.000000001),0)</f>
        <v>5.0000110000242</v>
      </c>
      <c r="M26">
        <f t="shared" ref="M26:M31" si="31">1000000000/(C26*L26*H26*365*24)</f>
        <v>45662.000000000007</v>
      </c>
      <c r="N26">
        <f t="shared" ref="N26:N31" si="32">1/M26</f>
        <v>2.1900048180105993E-5</v>
      </c>
    </row>
    <row r="27" spans="1:14" ht="28" outlineLevel="3" x14ac:dyDescent="0.3">
      <c r="A27" s="122"/>
      <c r="B27" s="124"/>
      <c r="C27" s="29">
        <v>1</v>
      </c>
      <c r="D27" s="28">
        <v>22831</v>
      </c>
      <c r="E27" s="4" t="s">
        <v>162</v>
      </c>
      <c r="F27" s="4" t="s">
        <v>27</v>
      </c>
      <c r="G27" s="26" t="s">
        <v>184</v>
      </c>
      <c r="H27" s="5">
        <v>0.5</v>
      </c>
      <c r="I27" s="4">
        <f t="shared" si="27"/>
        <v>45662</v>
      </c>
      <c r="J27" s="6">
        <f t="shared" si="28"/>
        <v>2.1900048180105996E-5</v>
      </c>
      <c r="K27" s="15">
        <f t="shared" si="29"/>
        <v>2.1900048180105996E-5</v>
      </c>
      <c r="L27">
        <f t="shared" si="30"/>
        <v>5.0000110000242</v>
      </c>
      <c r="M27">
        <f t="shared" si="31"/>
        <v>45662.000000000007</v>
      </c>
      <c r="N27">
        <f t="shared" si="32"/>
        <v>2.1900048180105993E-5</v>
      </c>
    </row>
    <row r="28" spans="1:14" outlineLevel="3" x14ac:dyDescent="0.3">
      <c r="A28" s="121" t="s">
        <v>163</v>
      </c>
      <c r="B28" s="123" t="s">
        <v>8</v>
      </c>
      <c r="C28" s="29">
        <v>5</v>
      </c>
      <c r="D28" s="28">
        <v>22831</v>
      </c>
      <c r="E28" s="4" t="s">
        <v>20</v>
      </c>
      <c r="F28" s="4" t="s">
        <v>28</v>
      </c>
      <c r="G28" s="26" t="s">
        <v>25</v>
      </c>
      <c r="H28" s="5">
        <v>0.5</v>
      </c>
      <c r="I28" s="4">
        <f t="shared" si="27"/>
        <v>0</v>
      </c>
      <c r="J28" s="6">
        <f t="shared" si="28"/>
        <v>0</v>
      </c>
      <c r="K28" s="15">
        <f t="shared" si="29"/>
        <v>0</v>
      </c>
      <c r="L28">
        <f t="shared" si="30"/>
        <v>0</v>
      </c>
      <c r="M28" t="e">
        <f t="shared" si="31"/>
        <v>#DIV/0!</v>
      </c>
      <c r="N28" t="e">
        <f t="shared" si="32"/>
        <v>#DIV/0!</v>
      </c>
    </row>
    <row r="29" spans="1:14" ht="28" outlineLevel="3" x14ac:dyDescent="0.3">
      <c r="A29" s="122"/>
      <c r="B29" s="124"/>
      <c r="C29" s="29">
        <v>5</v>
      </c>
      <c r="D29" s="28">
        <v>22831</v>
      </c>
      <c r="E29" s="4" t="s">
        <v>29</v>
      </c>
      <c r="F29" s="4" t="s">
        <v>27</v>
      </c>
      <c r="G29" s="26" t="s">
        <v>36</v>
      </c>
      <c r="H29" s="5">
        <v>0.5</v>
      </c>
      <c r="I29" s="4">
        <f t="shared" si="27"/>
        <v>45662</v>
      </c>
      <c r="J29" s="6">
        <f t="shared" si="28"/>
        <v>2.1900048180105996E-5</v>
      </c>
      <c r="K29" s="15">
        <f t="shared" si="29"/>
        <v>1.0950024090052998E-4</v>
      </c>
      <c r="L29">
        <f t="shared" si="30"/>
        <v>5.0000110000242</v>
      </c>
      <c r="M29">
        <f t="shared" si="31"/>
        <v>9132.4</v>
      </c>
      <c r="N29">
        <f t="shared" si="32"/>
        <v>1.0950024090052998E-4</v>
      </c>
    </row>
    <row r="30" spans="1:14" outlineLevel="3" x14ac:dyDescent="0.3">
      <c r="A30" s="121" t="s">
        <v>164</v>
      </c>
      <c r="B30" s="123" t="s">
        <v>7</v>
      </c>
      <c r="C30" s="29">
        <v>3</v>
      </c>
      <c r="D30" s="27">
        <v>114155</v>
      </c>
      <c r="E30" s="4" t="s">
        <v>20</v>
      </c>
      <c r="F30" s="4" t="s">
        <v>28</v>
      </c>
      <c r="G30" s="26" t="s">
        <v>25</v>
      </c>
      <c r="H30" s="5">
        <v>0.7</v>
      </c>
      <c r="I30" s="4">
        <f t="shared" si="27"/>
        <v>0</v>
      </c>
      <c r="J30" s="6">
        <f t="shared" si="28"/>
        <v>0</v>
      </c>
      <c r="K30" s="15">
        <f t="shared" si="29"/>
        <v>0</v>
      </c>
      <c r="L30">
        <f t="shared" si="30"/>
        <v>0</v>
      </c>
      <c r="M30" t="e">
        <f t="shared" si="31"/>
        <v>#DIV/0!</v>
      </c>
      <c r="N30" t="e">
        <f t="shared" si="32"/>
        <v>#DIV/0!</v>
      </c>
    </row>
    <row r="31" spans="1:14" outlineLevel="3" x14ac:dyDescent="0.3">
      <c r="A31" s="122"/>
      <c r="B31" s="124"/>
      <c r="C31" s="29">
        <v>3</v>
      </c>
      <c r="D31" s="27">
        <v>114155</v>
      </c>
      <c r="E31" s="4" t="s">
        <v>24</v>
      </c>
      <c r="F31" s="4" t="s">
        <v>28</v>
      </c>
      <c r="G31" s="26" t="s">
        <v>25</v>
      </c>
      <c r="H31" s="5">
        <v>0.3</v>
      </c>
      <c r="I31" s="4">
        <f t="shared" si="27"/>
        <v>0</v>
      </c>
      <c r="J31" s="6">
        <f t="shared" si="28"/>
        <v>0</v>
      </c>
      <c r="K31" s="15">
        <f t="shared" si="29"/>
        <v>0</v>
      </c>
      <c r="L31">
        <f t="shared" si="30"/>
        <v>0</v>
      </c>
      <c r="M31" t="e">
        <f t="shared" si="31"/>
        <v>#DIV/0!</v>
      </c>
      <c r="N31" t="e">
        <f t="shared" si="32"/>
        <v>#DIV/0!</v>
      </c>
    </row>
    <row r="32" spans="1:14" outlineLevel="3" x14ac:dyDescent="0.3">
      <c r="A32" s="121" t="s">
        <v>166</v>
      </c>
      <c r="B32" s="123" t="s">
        <v>7</v>
      </c>
      <c r="C32" s="29">
        <v>5</v>
      </c>
      <c r="D32" s="27">
        <v>114155</v>
      </c>
      <c r="E32" s="4" t="s">
        <v>20</v>
      </c>
      <c r="F32" s="4" t="s">
        <v>27</v>
      </c>
      <c r="G32" s="26" t="s">
        <v>187</v>
      </c>
      <c r="H32" s="5">
        <v>0.7</v>
      </c>
      <c r="I32" s="4">
        <f t="shared" si="5"/>
        <v>163078.57142857145</v>
      </c>
      <c r="J32" s="6">
        <f t="shared" si="3"/>
        <v>6.1320134904296781E-6</v>
      </c>
      <c r="K32" s="15">
        <f t="shared" si="4"/>
        <v>3.0660067452148394E-5</v>
      </c>
      <c r="L32">
        <f t="shared" si="6"/>
        <v>1.0000022000048399</v>
      </c>
      <c r="M32">
        <f t="shared" si="7"/>
        <v>32615.714285714294</v>
      </c>
      <c r="N32">
        <f t="shared" si="8"/>
        <v>3.0660067452148387E-5</v>
      </c>
    </row>
    <row r="33" spans="1:14" outlineLevel="3" x14ac:dyDescent="0.3">
      <c r="A33" s="122"/>
      <c r="B33" s="124"/>
      <c r="C33" s="29">
        <v>5</v>
      </c>
      <c r="D33" s="27">
        <v>114155</v>
      </c>
      <c r="E33" s="4" t="s">
        <v>24</v>
      </c>
      <c r="F33" s="4" t="s">
        <v>28</v>
      </c>
      <c r="G33" s="26" t="s">
        <v>25</v>
      </c>
      <c r="H33" s="5">
        <v>0.3</v>
      </c>
      <c r="I33" s="4">
        <f t="shared" si="5"/>
        <v>0</v>
      </c>
      <c r="J33" s="6">
        <f t="shared" si="3"/>
        <v>0</v>
      </c>
      <c r="K33" s="15">
        <f t="shared" si="4"/>
        <v>0</v>
      </c>
      <c r="L33">
        <f t="shared" si="6"/>
        <v>0</v>
      </c>
      <c r="M33" t="e">
        <f t="shared" si="7"/>
        <v>#DIV/0!</v>
      </c>
      <c r="N33" t="e">
        <f t="shared" si="8"/>
        <v>#DIV/0!</v>
      </c>
    </row>
    <row r="34" spans="1:14" outlineLevel="3" x14ac:dyDescent="0.3">
      <c r="A34" s="121" t="s">
        <v>165</v>
      </c>
      <c r="B34" s="123" t="s">
        <v>8</v>
      </c>
      <c r="C34" s="29">
        <v>4</v>
      </c>
      <c r="D34" s="28">
        <v>22831</v>
      </c>
      <c r="E34" s="4" t="s">
        <v>20</v>
      </c>
      <c r="F34" s="4" t="s">
        <v>28</v>
      </c>
      <c r="G34" s="26" t="s">
        <v>25</v>
      </c>
      <c r="H34" s="5">
        <v>0.5</v>
      </c>
      <c r="I34" s="4">
        <f t="shared" si="5"/>
        <v>0</v>
      </c>
      <c r="J34" s="6">
        <f t="shared" si="3"/>
        <v>0</v>
      </c>
      <c r="K34" s="15">
        <f t="shared" si="4"/>
        <v>0</v>
      </c>
      <c r="L34">
        <f t="shared" si="6"/>
        <v>0</v>
      </c>
      <c r="M34" t="e">
        <f t="shared" si="7"/>
        <v>#DIV/0!</v>
      </c>
      <c r="N34" t="e">
        <f t="shared" si="8"/>
        <v>#DIV/0!</v>
      </c>
    </row>
    <row r="35" spans="1:14" outlineLevel="3" x14ac:dyDescent="0.3">
      <c r="A35" s="122"/>
      <c r="B35" s="124"/>
      <c r="C35" s="29">
        <v>4</v>
      </c>
      <c r="D35" s="28">
        <v>22831</v>
      </c>
      <c r="E35" s="4" t="s">
        <v>29</v>
      </c>
      <c r="F35" s="4" t="s">
        <v>28</v>
      </c>
      <c r="G35" s="26" t="s">
        <v>25</v>
      </c>
      <c r="H35" s="5">
        <v>0.5</v>
      </c>
      <c r="I35" s="4">
        <f t="shared" si="5"/>
        <v>0</v>
      </c>
      <c r="J35" s="6">
        <f t="shared" si="3"/>
        <v>0</v>
      </c>
      <c r="K35" s="15">
        <f t="shared" si="4"/>
        <v>0</v>
      </c>
      <c r="L35">
        <f t="shared" si="6"/>
        <v>0</v>
      </c>
      <c r="M35" t="e">
        <f t="shared" si="7"/>
        <v>#DIV/0!</v>
      </c>
      <c r="N35" t="e">
        <f t="shared" si="8"/>
        <v>#DIV/0!</v>
      </c>
    </row>
    <row r="36" spans="1:14" ht="28" outlineLevel="3" x14ac:dyDescent="0.3">
      <c r="A36" s="121" t="s">
        <v>167</v>
      </c>
      <c r="B36" s="123" t="s">
        <v>10</v>
      </c>
      <c r="C36" s="4">
        <v>1</v>
      </c>
      <c r="D36" s="4">
        <v>38052</v>
      </c>
      <c r="E36" s="4" t="s">
        <v>50</v>
      </c>
      <c r="F36" s="4" t="s">
        <v>27</v>
      </c>
      <c r="G36" s="26" t="s">
        <v>185</v>
      </c>
      <c r="H36" s="34">
        <v>0.16700000000000001</v>
      </c>
      <c r="I36" s="4">
        <f t="shared" si="5"/>
        <v>227856.2874251497</v>
      </c>
      <c r="J36" s="6">
        <f t="shared" si="3"/>
        <v>4.3887312099232626E-6</v>
      </c>
      <c r="K36" s="15">
        <f t="shared" si="4"/>
        <v>4.3887312099232626E-6</v>
      </c>
      <c r="L36">
        <f t="shared" ref="L36:L41" si="33">IF(F36="yes",1/(D36*365*24*0.000000001),0)</f>
        <v>2.9999803201291</v>
      </c>
      <c r="M36">
        <f t="shared" ref="M36:M41" si="34">1000000000/(C36*L36*H36*365*24)</f>
        <v>227856.2874251497</v>
      </c>
      <c r="N36">
        <f>M36/3</f>
        <v>75952.095808383237</v>
      </c>
    </row>
    <row r="37" spans="1:14" ht="28" outlineLevel="3" x14ac:dyDescent="0.3">
      <c r="A37" s="125"/>
      <c r="B37" s="126"/>
      <c r="C37" s="4">
        <v>1</v>
      </c>
      <c r="D37" s="4">
        <v>38052</v>
      </c>
      <c r="E37" s="4" t="s">
        <v>51</v>
      </c>
      <c r="F37" s="4" t="s">
        <v>27</v>
      </c>
      <c r="G37" s="26" t="s">
        <v>184</v>
      </c>
      <c r="H37" s="34">
        <v>0.16700000000000001</v>
      </c>
      <c r="I37" s="4">
        <f t="shared" si="5"/>
        <v>227856.2874251497</v>
      </c>
      <c r="J37" s="6">
        <f t="shared" si="3"/>
        <v>4.3887312099232626E-6</v>
      </c>
      <c r="K37" s="15">
        <f t="shared" si="4"/>
        <v>4.3887312099232626E-6</v>
      </c>
      <c r="L37">
        <f t="shared" si="33"/>
        <v>2.9999803201291</v>
      </c>
      <c r="M37">
        <f t="shared" si="34"/>
        <v>227856.2874251497</v>
      </c>
    </row>
    <row r="38" spans="1:14" ht="28" outlineLevel="3" x14ac:dyDescent="0.3">
      <c r="A38" s="125"/>
      <c r="B38" s="126"/>
      <c r="C38" s="4">
        <v>1</v>
      </c>
      <c r="D38" s="4">
        <v>38052</v>
      </c>
      <c r="E38" s="4" t="s">
        <v>52</v>
      </c>
      <c r="F38" s="4" t="s">
        <v>156</v>
      </c>
      <c r="G38" s="26" t="s">
        <v>184</v>
      </c>
      <c r="H38" s="34">
        <v>0.16700000000000001</v>
      </c>
      <c r="I38" s="4">
        <f t="shared" si="5"/>
        <v>227856.2874251497</v>
      </c>
      <c r="J38" s="6">
        <f t="shared" si="3"/>
        <v>4.3887312099232626E-6</v>
      </c>
      <c r="K38" s="15">
        <f t="shared" si="4"/>
        <v>4.3887312099232626E-6</v>
      </c>
      <c r="L38">
        <f t="shared" si="33"/>
        <v>2.9999803201291</v>
      </c>
      <c r="M38">
        <f t="shared" si="34"/>
        <v>227856.2874251497</v>
      </c>
    </row>
    <row r="39" spans="1:14" outlineLevel="3" x14ac:dyDescent="0.3">
      <c r="A39" s="125"/>
      <c r="B39" s="126"/>
      <c r="C39" s="4">
        <v>1</v>
      </c>
      <c r="D39" s="4">
        <v>38052</v>
      </c>
      <c r="E39" s="4" t="s">
        <v>53</v>
      </c>
      <c r="F39" s="4" t="s">
        <v>28</v>
      </c>
      <c r="G39" s="26" t="s">
        <v>25</v>
      </c>
      <c r="H39" s="34">
        <v>0.16700000000000001</v>
      </c>
      <c r="I39" s="4">
        <f t="shared" si="5"/>
        <v>0</v>
      </c>
      <c r="J39" s="6">
        <f t="shared" si="3"/>
        <v>0</v>
      </c>
      <c r="K39" s="15">
        <f t="shared" si="4"/>
        <v>0</v>
      </c>
      <c r="L39">
        <f t="shared" si="33"/>
        <v>0</v>
      </c>
      <c r="M39" t="e">
        <f t="shared" si="34"/>
        <v>#DIV/0!</v>
      </c>
    </row>
    <row r="40" spans="1:14" outlineLevel="3" x14ac:dyDescent="0.3">
      <c r="A40" s="125"/>
      <c r="B40" s="126"/>
      <c r="C40" s="4">
        <v>1</v>
      </c>
      <c r="D40" s="4">
        <v>38052</v>
      </c>
      <c r="E40" s="4" t="s">
        <v>54</v>
      </c>
      <c r="F40" s="4" t="s">
        <v>28</v>
      </c>
      <c r="G40" s="26" t="s">
        <v>25</v>
      </c>
      <c r="H40" s="34">
        <v>0.16700000000000001</v>
      </c>
      <c r="I40" s="4">
        <f t="shared" si="5"/>
        <v>0</v>
      </c>
      <c r="J40" s="6">
        <f t="shared" si="3"/>
        <v>0</v>
      </c>
      <c r="K40" s="15">
        <f t="shared" si="4"/>
        <v>0</v>
      </c>
      <c r="L40">
        <f t="shared" si="33"/>
        <v>0</v>
      </c>
      <c r="M40" t="e">
        <f t="shared" si="34"/>
        <v>#DIV/0!</v>
      </c>
    </row>
    <row r="41" spans="1:14" outlineLevel="3" x14ac:dyDescent="0.3">
      <c r="A41" s="122"/>
      <c r="B41" s="124"/>
      <c r="C41" s="4">
        <v>1</v>
      </c>
      <c r="D41" s="4">
        <v>38052</v>
      </c>
      <c r="E41" s="4" t="s">
        <v>55</v>
      </c>
      <c r="F41" s="4" t="s">
        <v>28</v>
      </c>
      <c r="G41" s="26" t="s">
        <v>25</v>
      </c>
      <c r="H41" s="34">
        <v>0.16700000000000001</v>
      </c>
      <c r="I41" s="4">
        <f t="shared" si="5"/>
        <v>0</v>
      </c>
      <c r="J41" s="6">
        <f t="shared" si="3"/>
        <v>0</v>
      </c>
      <c r="K41" s="15">
        <f t="shared" si="4"/>
        <v>0</v>
      </c>
      <c r="L41">
        <f t="shared" si="33"/>
        <v>0</v>
      </c>
      <c r="M41" t="e">
        <f t="shared" si="34"/>
        <v>#DIV/0!</v>
      </c>
    </row>
    <row r="42" spans="1:14" outlineLevel="3" x14ac:dyDescent="0.3">
      <c r="A42" s="121" t="s">
        <v>122</v>
      </c>
      <c r="B42" s="123" t="s">
        <v>37</v>
      </c>
      <c r="C42" s="29">
        <v>1</v>
      </c>
      <c r="D42" s="4">
        <v>22831</v>
      </c>
      <c r="E42" s="4" t="s">
        <v>38</v>
      </c>
      <c r="F42" s="4" t="s">
        <v>28</v>
      </c>
      <c r="G42" s="26" t="s">
        <v>186</v>
      </c>
      <c r="H42" s="30">
        <v>0.16700000000000001</v>
      </c>
      <c r="I42" s="4">
        <f t="shared" si="5"/>
        <v>0</v>
      </c>
      <c r="J42" s="6">
        <f t="shared" si="3"/>
        <v>0</v>
      </c>
      <c r="K42" s="15">
        <f t="shared" si="4"/>
        <v>0</v>
      </c>
      <c r="L42">
        <f t="shared" si="6"/>
        <v>0</v>
      </c>
      <c r="M42" t="e">
        <f t="shared" si="7"/>
        <v>#DIV/0!</v>
      </c>
      <c r="N42" t="e">
        <f t="shared" si="8"/>
        <v>#DIV/0!</v>
      </c>
    </row>
    <row r="43" spans="1:14" ht="42" outlineLevel="3" x14ac:dyDescent="0.3">
      <c r="A43" s="125"/>
      <c r="B43" s="126"/>
      <c r="C43" s="29">
        <v>1</v>
      </c>
      <c r="D43" s="4">
        <v>22831</v>
      </c>
      <c r="E43" s="4" t="s">
        <v>39</v>
      </c>
      <c r="F43" s="4" t="s">
        <v>28</v>
      </c>
      <c r="G43" s="26" t="s">
        <v>44</v>
      </c>
      <c r="H43" s="30">
        <v>0.16700000000000001</v>
      </c>
      <c r="I43" s="4">
        <f t="shared" si="5"/>
        <v>0</v>
      </c>
      <c r="J43" s="6">
        <f t="shared" si="3"/>
        <v>0</v>
      </c>
      <c r="K43" s="15">
        <f t="shared" si="4"/>
        <v>0</v>
      </c>
      <c r="L43">
        <f t="shared" si="6"/>
        <v>0</v>
      </c>
      <c r="M43" t="e">
        <f t="shared" si="7"/>
        <v>#DIV/0!</v>
      </c>
      <c r="N43" t="e">
        <f t="shared" si="8"/>
        <v>#DIV/0!</v>
      </c>
    </row>
    <row r="44" spans="1:14" ht="42" outlineLevel="3" x14ac:dyDescent="0.3">
      <c r="A44" s="125"/>
      <c r="B44" s="126"/>
      <c r="C44" s="29">
        <v>1</v>
      </c>
      <c r="D44" s="4">
        <v>22831</v>
      </c>
      <c r="E44" s="4" t="s">
        <v>40</v>
      </c>
      <c r="F44" s="4" t="s">
        <v>28</v>
      </c>
      <c r="G44" s="26" t="s">
        <v>44</v>
      </c>
      <c r="H44" s="30">
        <v>0.16700000000000001</v>
      </c>
      <c r="I44" s="4">
        <f t="shared" si="5"/>
        <v>0</v>
      </c>
      <c r="J44" s="6">
        <f t="shared" si="3"/>
        <v>0</v>
      </c>
      <c r="K44" s="15">
        <f t="shared" si="4"/>
        <v>0</v>
      </c>
      <c r="L44">
        <f t="shared" si="6"/>
        <v>0</v>
      </c>
      <c r="M44" t="e">
        <f t="shared" si="7"/>
        <v>#DIV/0!</v>
      </c>
      <c r="N44" t="e">
        <f t="shared" si="8"/>
        <v>#DIV/0!</v>
      </c>
    </row>
    <row r="45" spans="1:14" ht="42" outlineLevel="3" x14ac:dyDescent="0.3">
      <c r="A45" s="125"/>
      <c r="B45" s="126"/>
      <c r="C45" s="29">
        <v>1</v>
      </c>
      <c r="D45" s="4">
        <v>22831</v>
      </c>
      <c r="E45" s="4" t="s">
        <v>41</v>
      </c>
      <c r="F45" s="4" t="s">
        <v>28</v>
      </c>
      <c r="G45" s="26" t="s">
        <v>44</v>
      </c>
      <c r="H45" s="30">
        <v>0.16700000000000001</v>
      </c>
      <c r="I45" s="4">
        <f t="shared" si="5"/>
        <v>0</v>
      </c>
      <c r="J45" s="6">
        <f t="shared" si="3"/>
        <v>0</v>
      </c>
      <c r="K45" s="15">
        <f t="shared" si="4"/>
        <v>0</v>
      </c>
      <c r="L45">
        <f t="shared" si="6"/>
        <v>0</v>
      </c>
      <c r="M45" t="e">
        <f t="shared" si="7"/>
        <v>#DIV/0!</v>
      </c>
      <c r="N45" t="e">
        <f t="shared" si="8"/>
        <v>#DIV/0!</v>
      </c>
    </row>
    <row r="46" spans="1:14" ht="42" outlineLevel="3" x14ac:dyDescent="0.3">
      <c r="A46" s="125"/>
      <c r="B46" s="126"/>
      <c r="C46" s="29">
        <v>1</v>
      </c>
      <c r="D46" s="4">
        <v>22831</v>
      </c>
      <c r="E46" s="4" t="s">
        <v>42</v>
      </c>
      <c r="F46" s="4" t="s">
        <v>28</v>
      </c>
      <c r="G46" s="26" t="s">
        <v>44</v>
      </c>
      <c r="H46" s="30">
        <v>0.16700000000000001</v>
      </c>
      <c r="I46" s="4">
        <f t="shared" si="5"/>
        <v>0</v>
      </c>
      <c r="J46" s="6">
        <f t="shared" si="3"/>
        <v>0</v>
      </c>
      <c r="K46" s="15">
        <f t="shared" si="4"/>
        <v>0</v>
      </c>
      <c r="L46">
        <f t="shared" si="6"/>
        <v>0</v>
      </c>
      <c r="M46" t="e">
        <f t="shared" si="7"/>
        <v>#DIV/0!</v>
      </c>
      <c r="N46" t="e">
        <f t="shared" si="8"/>
        <v>#DIV/0!</v>
      </c>
    </row>
    <row r="47" spans="1:14" ht="42" outlineLevel="3" x14ac:dyDescent="0.3">
      <c r="A47" s="122"/>
      <c r="B47" s="124"/>
      <c r="C47" s="29">
        <v>1</v>
      </c>
      <c r="D47" s="4">
        <v>22831</v>
      </c>
      <c r="E47" s="4" t="s">
        <v>43</v>
      </c>
      <c r="F47" s="4" t="s">
        <v>28</v>
      </c>
      <c r="G47" s="26" t="s">
        <v>188</v>
      </c>
      <c r="H47" s="30">
        <v>0.16700000000000001</v>
      </c>
      <c r="I47" s="4">
        <f t="shared" si="5"/>
        <v>0</v>
      </c>
      <c r="J47" s="6">
        <f t="shared" si="3"/>
        <v>0</v>
      </c>
      <c r="K47" s="15">
        <f t="shared" si="4"/>
        <v>0</v>
      </c>
      <c r="L47">
        <f t="shared" si="6"/>
        <v>0</v>
      </c>
      <c r="M47" t="e">
        <f t="shared" si="7"/>
        <v>#DIV/0!</v>
      </c>
      <c r="N47" t="e">
        <f t="shared" si="8"/>
        <v>#DIV/0!</v>
      </c>
    </row>
    <row r="48" spans="1:14" ht="28" outlineLevel="3" x14ac:dyDescent="0.3">
      <c r="A48" s="121" t="s">
        <v>168</v>
      </c>
      <c r="B48" s="123" t="s">
        <v>8</v>
      </c>
      <c r="C48" s="29">
        <v>2</v>
      </c>
      <c r="D48" s="28">
        <v>22831</v>
      </c>
      <c r="E48" s="4" t="s">
        <v>20</v>
      </c>
      <c r="F48" s="4" t="s">
        <v>28</v>
      </c>
      <c r="G48" s="26" t="s">
        <v>184</v>
      </c>
      <c r="H48" s="5">
        <v>0.5</v>
      </c>
      <c r="I48" s="4">
        <f t="shared" ref="I48:I49" si="35">IF(F48="yes",D48/H48,0)</f>
        <v>0</v>
      </c>
      <c r="J48" s="6">
        <f t="shared" ref="J48:J49" si="36">IF(I48= 0,0,1/I48)</f>
        <v>0</v>
      </c>
      <c r="K48" s="15">
        <f t="shared" ref="K48:K49" si="37">J48*C48</f>
        <v>0</v>
      </c>
      <c r="L48">
        <f t="shared" ref="L48:L49" si="38">IF(F48="yes",1/(D48*365*24*0.000000001),0)</f>
        <v>0</v>
      </c>
      <c r="M48" t="e">
        <f t="shared" ref="M48:M49" si="39">1000000000/(C48*L48*H48*365*24)</f>
        <v>#DIV/0!</v>
      </c>
      <c r="N48" t="e">
        <f t="shared" ref="N48:N49" si="40">1/M48</f>
        <v>#DIV/0!</v>
      </c>
    </row>
    <row r="49" spans="1:15" outlineLevel="3" x14ac:dyDescent="0.3">
      <c r="A49" s="122"/>
      <c r="B49" s="124"/>
      <c r="C49" s="29">
        <v>2</v>
      </c>
      <c r="D49" s="28">
        <v>22831</v>
      </c>
      <c r="E49" s="4" t="s">
        <v>29</v>
      </c>
      <c r="F49" s="4" t="s">
        <v>145</v>
      </c>
      <c r="G49" s="26" t="s">
        <v>25</v>
      </c>
      <c r="H49" s="5">
        <v>0.5</v>
      </c>
      <c r="I49" s="4">
        <f t="shared" si="35"/>
        <v>45662</v>
      </c>
      <c r="J49" s="6">
        <f t="shared" si="36"/>
        <v>2.1900048180105996E-5</v>
      </c>
      <c r="K49" s="15">
        <f t="shared" si="37"/>
        <v>4.3800096360211993E-5</v>
      </c>
      <c r="L49">
        <f t="shared" si="38"/>
        <v>5.0000110000242</v>
      </c>
      <c r="M49">
        <f t="shared" si="39"/>
        <v>22831.000000000004</v>
      </c>
      <c r="N49">
        <f t="shared" si="40"/>
        <v>4.3800096360211986E-5</v>
      </c>
    </row>
    <row r="50" spans="1:15" ht="28" outlineLevel="3" x14ac:dyDescent="0.3">
      <c r="A50" s="121" t="s">
        <v>169</v>
      </c>
      <c r="B50" s="123" t="s">
        <v>7</v>
      </c>
      <c r="C50" s="29">
        <v>4</v>
      </c>
      <c r="D50" s="27">
        <v>114155</v>
      </c>
      <c r="E50" s="4" t="s">
        <v>20</v>
      </c>
      <c r="F50" s="4" t="s">
        <v>27</v>
      </c>
      <c r="G50" s="26" t="s">
        <v>184</v>
      </c>
      <c r="H50" s="30">
        <v>0.7</v>
      </c>
      <c r="I50" s="4">
        <f t="shared" si="5"/>
        <v>163078.57142857145</v>
      </c>
      <c r="J50" s="6">
        <f t="shared" si="3"/>
        <v>6.1320134904296781E-6</v>
      </c>
      <c r="K50" s="15">
        <f t="shared" si="4"/>
        <v>2.4528053961718713E-5</v>
      </c>
      <c r="L50">
        <f t="shared" si="6"/>
        <v>1.0000022000048399</v>
      </c>
      <c r="M50">
        <f t="shared" si="7"/>
        <v>40769.64285714287</v>
      </c>
      <c r="N50">
        <f t="shared" si="8"/>
        <v>2.4528053961718709E-5</v>
      </c>
    </row>
    <row r="51" spans="1:15" outlineLevel="3" x14ac:dyDescent="0.3">
      <c r="A51" s="122"/>
      <c r="B51" s="124"/>
      <c r="C51" s="29">
        <v>4</v>
      </c>
      <c r="D51" s="27">
        <v>114155</v>
      </c>
      <c r="E51" s="4" t="s">
        <v>24</v>
      </c>
      <c r="F51" s="4" t="s">
        <v>28</v>
      </c>
      <c r="G51" s="26" t="s">
        <v>25</v>
      </c>
      <c r="H51" s="30">
        <v>0.3</v>
      </c>
      <c r="I51" s="4">
        <f t="shared" si="5"/>
        <v>0</v>
      </c>
      <c r="J51" s="6">
        <f t="shared" si="3"/>
        <v>0</v>
      </c>
      <c r="K51" s="15">
        <f t="shared" si="4"/>
        <v>0</v>
      </c>
      <c r="L51">
        <f t="shared" si="6"/>
        <v>0</v>
      </c>
      <c r="M51" t="e">
        <f t="shared" si="7"/>
        <v>#DIV/0!</v>
      </c>
      <c r="N51" t="e">
        <f t="shared" si="8"/>
        <v>#DIV/0!</v>
      </c>
    </row>
    <row r="52" spans="1:15" ht="28" outlineLevel="3" x14ac:dyDescent="0.3">
      <c r="A52" s="121" t="s">
        <v>171</v>
      </c>
      <c r="B52" s="123" t="s">
        <v>7</v>
      </c>
      <c r="C52" s="29">
        <v>4</v>
      </c>
      <c r="D52" s="27">
        <v>114155</v>
      </c>
      <c r="E52" s="4" t="s">
        <v>20</v>
      </c>
      <c r="F52" s="4" t="s">
        <v>170</v>
      </c>
      <c r="G52" s="26" t="s">
        <v>184</v>
      </c>
      <c r="H52" s="30">
        <v>0.7</v>
      </c>
      <c r="I52" s="4">
        <f t="shared" ref="I52:I53" si="41">IF(F52="yes",D52/H52,0)</f>
        <v>0</v>
      </c>
      <c r="J52" s="6">
        <f t="shared" ref="J52:J53" si="42">IF(I52= 0,0,1/I52)</f>
        <v>0</v>
      </c>
      <c r="K52" s="15">
        <f t="shared" ref="K52:K53" si="43">J52*C52</f>
        <v>0</v>
      </c>
      <c r="L52">
        <f t="shared" ref="L52:L53" si="44">IF(F52="yes",1/(D52*365*24*0.000000001),0)</f>
        <v>0</v>
      </c>
      <c r="M52" t="e">
        <f t="shared" ref="M52:M53" si="45">1000000000/(C52*L52*H52*365*24)</f>
        <v>#DIV/0!</v>
      </c>
      <c r="N52" t="e">
        <f t="shared" ref="N52:N53" si="46">1/M52</f>
        <v>#DIV/0!</v>
      </c>
    </row>
    <row r="53" spans="1:15" outlineLevel="3" x14ac:dyDescent="0.3">
      <c r="A53" s="122"/>
      <c r="B53" s="124"/>
      <c r="C53" s="29">
        <v>4</v>
      </c>
      <c r="D53" s="27">
        <v>114155</v>
      </c>
      <c r="E53" s="4" t="s">
        <v>24</v>
      </c>
      <c r="F53" s="4" t="s">
        <v>28</v>
      </c>
      <c r="G53" s="26" t="s">
        <v>25</v>
      </c>
      <c r="H53" s="30">
        <v>0.3</v>
      </c>
      <c r="I53" s="4">
        <f t="shared" si="41"/>
        <v>0</v>
      </c>
      <c r="J53" s="6">
        <f t="shared" si="42"/>
        <v>0</v>
      </c>
      <c r="K53" s="15">
        <f t="shared" si="43"/>
        <v>0</v>
      </c>
      <c r="L53">
        <f t="shared" si="44"/>
        <v>0</v>
      </c>
      <c r="M53" t="e">
        <f t="shared" si="45"/>
        <v>#DIV/0!</v>
      </c>
      <c r="N53" t="e">
        <f t="shared" si="46"/>
        <v>#DIV/0!</v>
      </c>
    </row>
    <row r="54" spans="1:15" outlineLevel="3" x14ac:dyDescent="0.3">
      <c r="A54" s="16"/>
      <c r="B54" s="7"/>
      <c r="C54" s="7"/>
      <c r="D54" s="7"/>
      <c r="E54" s="7"/>
      <c r="F54" s="7"/>
      <c r="G54" s="7"/>
      <c r="H54" s="7"/>
      <c r="I54" s="7"/>
      <c r="J54" s="7"/>
      <c r="K54" s="14">
        <f>1/SUM(K13:K53)</f>
        <v>868.8000555142205</v>
      </c>
      <c r="L54">
        <f>1/K54</f>
        <v>1.1510128177974455E-3</v>
      </c>
      <c r="M54">
        <v>0.6</v>
      </c>
      <c r="N54">
        <f>L54*M54</f>
        <v>6.9060769067846731E-4</v>
      </c>
      <c r="O54" s="83">
        <f>SUM(K13:K53)</f>
        <v>1.1510128177974455E-3</v>
      </c>
    </row>
    <row r="55" spans="1:15" ht="17.5" outlineLevel="2" x14ac:dyDescent="0.35">
      <c r="A55" s="127" t="s">
        <v>3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>
        <f t="shared" si="6"/>
        <v>0</v>
      </c>
      <c r="M55" t="e">
        <f t="shared" si="7"/>
        <v>#DIV/0!</v>
      </c>
    </row>
    <row r="56" spans="1:15" outlineLevel="3" x14ac:dyDescent="0.3">
      <c r="A56" s="31" t="s">
        <v>13</v>
      </c>
      <c r="B56" s="32" t="s">
        <v>4</v>
      </c>
      <c r="C56" s="32" t="s">
        <v>5</v>
      </c>
      <c r="D56" s="32" t="s">
        <v>12</v>
      </c>
      <c r="E56" s="32" t="s">
        <v>19</v>
      </c>
      <c r="F56" s="32" t="s">
        <v>26</v>
      </c>
      <c r="G56" s="32" t="s">
        <v>21</v>
      </c>
      <c r="H56" s="32" t="s">
        <v>6</v>
      </c>
      <c r="I56" s="32" t="s">
        <v>14</v>
      </c>
      <c r="J56" s="32" t="s">
        <v>15</v>
      </c>
      <c r="K56" s="33" t="s">
        <v>16</v>
      </c>
      <c r="L56">
        <f t="shared" si="6"/>
        <v>0</v>
      </c>
      <c r="M56" t="e">
        <f t="shared" si="7"/>
        <v>#VALUE!</v>
      </c>
    </row>
    <row r="57" spans="1:15" outlineLevel="3" x14ac:dyDescent="0.3">
      <c r="A57" s="121" t="s">
        <v>172</v>
      </c>
      <c r="B57" s="123" t="s">
        <v>8</v>
      </c>
      <c r="C57" s="4">
        <v>4</v>
      </c>
      <c r="D57" s="28">
        <v>22831</v>
      </c>
      <c r="E57" s="4" t="s">
        <v>20</v>
      </c>
      <c r="F57" s="4" t="s">
        <v>28</v>
      </c>
      <c r="G57" s="4" t="s">
        <v>25</v>
      </c>
      <c r="H57" s="5">
        <v>0.5</v>
      </c>
      <c r="I57" s="4">
        <f t="shared" ref="I57:I80" si="47">IF(F57="yes",D57/H57,0)</f>
        <v>0</v>
      </c>
      <c r="J57" s="6">
        <f t="shared" ref="J57:J113" si="48">IF(I57= 0,0,1/I57)</f>
        <v>0</v>
      </c>
      <c r="K57" s="15">
        <f>J57*C57</f>
        <v>0</v>
      </c>
      <c r="L57">
        <f t="shared" si="6"/>
        <v>0</v>
      </c>
      <c r="M57" t="e">
        <f t="shared" si="7"/>
        <v>#DIV/0!</v>
      </c>
    </row>
    <row r="58" spans="1:15" outlineLevel="3" x14ac:dyDescent="0.3">
      <c r="A58" s="122"/>
      <c r="B58" s="124"/>
      <c r="C58" s="4">
        <v>4</v>
      </c>
      <c r="D58" s="28">
        <v>22831</v>
      </c>
      <c r="E58" s="4" t="s">
        <v>29</v>
      </c>
      <c r="F58" s="4" t="s">
        <v>28</v>
      </c>
      <c r="G58" s="4" t="s">
        <v>25</v>
      </c>
      <c r="H58" s="5">
        <v>0.5</v>
      </c>
      <c r="I58" s="4">
        <f t="shared" si="47"/>
        <v>0</v>
      </c>
      <c r="J58" s="6">
        <f t="shared" si="48"/>
        <v>0</v>
      </c>
      <c r="K58" s="15">
        <f>J58*C58</f>
        <v>0</v>
      </c>
      <c r="L58">
        <f t="shared" si="6"/>
        <v>0</v>
      </c>
      <c r="M58" t="e">
        <f t="shared" si="7"/>
        <v>#DIV/0!</v>
      </c>
    </row>
    <row r="59" spans="1:15" outlineLevel="3" x14ac:dyDescent="0.3">
      <c r="A59" s="121" t="s">
        <v>173</v>
      </c>
      <c r="B59" s="123" t="s">
        <v>37</v>
      </c>
      <c r="C59" s="4">
        <v>2</v>
      </c>
      <c r="D59" s="4">
        <v>1903</v>
      </c>
      <c r="E59" s="4" t="s">
        <v>38</v>
      </c>
      <c r="F59" s="4" t="s">
        <v>28</v>
      </c>
      <c r="G59" s="4" t="s">
        <v>47</v>
      </c>
      <c r="H59" s="34">
        <v>0.16700000000000001</v>
      </c>
      <c r="I59" s="4">
        <f t="shared" si="47"/>
        <v>0</v>
      </c>
      <c r="J59" s="6">
        <f t="shared" si="48"/>
        <v>0</v>
      </c>
      <c r="K59" s="15">
        <f>J59*C59</f>
        <v>0</v>
      </c>
      <c r="L59">
        <f t="shared" si="6"/>
        <v>0</v>
      </c>
      <c r="M59" t="e">
        <f t="shared" si="7"/>
        <v>#DIV/0!</v>
      </c>
    </row>
    <row r="60" spans="1:15" outlineLevel="3" x14ac:dyDescent="0.3">
      <c r="A60" s="125"/>
      <c r="B60" s="126"/>
      <c r="C60" s="4">
        <v>2</v>
      </c>
      <c r="D60" s="4">
        <v>1903</v>
      </c>
      <c r="E60" s="4" t="s">
        <v>39</v>
      </c>
      <c r="F60" s="4" t="s">
        <v>28</v>
      </c>
      <c r="G60" s="4" t="s">
        <v>47</v>
      </c>
      <c r="H60" s="34">
        <v>0.16700000000000001</v>
      </c>
      <c r="I60" s="4">
        <f t="shared" si="47"/>
        <v>0</v>
      </c>
      <c r="J60" s="6">
        <f t="shared" si="48"/>
        <v>0</v>
      </c>
      <c r="K60" s="15">
        <f>J60*C60</f>
        <v>0</v>
      </c>
      <c r="L60">
        <f t="shared" si="6"/>
        <v>0</v>
      </c>
      <c r="M60" t="e">
        <f t="shared" si="7"/>
        <v>#DIV/0!</v>
      </c>
    </row>
    <row r="61" spans="1:15" outlineLevel="3" x14ac:dyDescent="0.3">
      <c r="A61" s="125"/>
      <c r="B61" s="126"/>
      <c r="C61" s="4">
        <v>2</v>
      </c>
      <c r="D61" s="4">
        <v>1903</v>
      </c>
      <c r="E61" s="4" t="s">
        <v>40</v>
      </c>
      <c r="F61" s="4" t="s">
        <v>28</v>
      </c>
      <c r="G61" s="4" t="s">
        <v>47</v>
      </c>
      <c r="H61" s="34">
        <v>0.16700000000000001</v>
      </c>
      <c r="I61" s="4">
        <f t="shared" si="47"/>
        <v>0</v>
      </c>
      <c r="J61" s="6">
        <f t="shared" si="48"/>
        <v>0</v>
      </c>
      <c r="K61" s="15">
        <f>J61*C61</f>
        <v>0</v>
      </c>
      <c r="L61">
        <f t="shared" si="6"/>
        <v>0</v>
      </c>
      <c r="M61" t="e">
        <f t="shared" si="7"/>
        <v>#DIV/0!</v>
      </c>
    </row>
    <row r="62" spans="1:15" ht="28" outlineLevel="3" x14ac:dyDescent="0.3">
      <c r="A62" s="125"/>
      <c r="B62" s="126"/>
      <c r="C62" s="4">
        <v>2</v>
      </c>
      <c r="D62" s="4">
        <v>1903</v>
      </c>
      <c r="E62" s="4" t="s">
        <v>41</v>
      </c>
      <c r="F62" s="4" t="s">
        <v>27</v>
      </c>
      <c r="G62" s="26" t="s">
        <v>48</v>
      </c>
      <c r="H62" s="34">
        <v>0.16700000000000001</v>
      </c>
      <c r="I62" s="4">
        <f t="shared" si="47"/>
        <v>11395.209580838322</v>
      </c>
      <c r="J62" s="6">
        <f t="shared" si="48"/>
        <v>8.7756174461376787E-5</v>
      </c>
      <c r="K62" s="15">
        <f t="shared" ref="K62:K80" si="49">J62*C62</f>
        <v>1.7551234892275357E-4</v>
      </c>
      <c r="L62">
        <f t="shared" si="6"/>
        <v>59.986994819523119</v>
      </c>
      <c r="M62">
        <f t="shared" si="7"/>
        <v>5697.6047904191619</v>
      </c>
    </row>
    <row r="63" spans="1:15" outlineLevel="3" x14ac:dyDescent="0.3">
      <c r="A63" s="125"/>
      <c r="B63" s="126"/>
      <c r="C63" s="4">
        <v>2</v>
      </c>
      <c r="D63" s="4">
        <v>1903</v>
      </c>
      <c r="E63" s="4" t="s">
        <v>42</v>
      </c>
      <c r="F63" s="4" t="s">
        <v>28</v>
      </c>
      <c r="G63" s="4" t="s">
        <v>47</v>
      </c>
      <c r="H63" s="34">
        <v>0.16700000000000001</v>
      </c>
      <c r="I63" s="4">
        <f t="shared" si="47"/>
        <v>0</v>
      </c>
      <c r="J63" s="6">
        <f t="shared" si="48"/>
        <v>0</v>
      </c>
      <c r="K63" s="15">
        <f t="shared" si="49"/>
        <v>0</v>
      </c>
      <c r="L63">
        <f t="shared" si="6"/>
        <v>0</v>
      </c>
      <c r="M63" t="e">
        <f t="shared" si="7"/>
        <v>#DIV/0!</v>
      </c>
    </row>
    <row r="64" spans="1:15" outlineLevel="3" x14ac:dyDescent="0.3">
      <c r="A64" s="122"/>
      <c r="B64" s="124"/>
      <c r="C64" s="4">
        <v>2</v>
      </c>
      <c r="D64" s="4">
        <v>1903</v>
      </c>
      <c r="E64" s="4" t="s">
        <v>43</v>
      </c>
      <c r="F64" s="4" t="s">
        <v>28</v>
      </c>
      <c r="G64" s="4" t="s">
        <v>47</v>
      </c>
      <c r="H64" s="34">
        <v>0.16700000000000001</v>
      </c>
      <c r="I64" s="4">
        <f t="shared" si="47"/>
        <v>0</v>
      </c>
      <c r="J64" s="6">
        <f t="shared" si="48"/>
        <v>0</v>
      </c>
      <c r="K64" s="15">
        <f t="shared" si="49"/>
        <v>0</v>
      </c>
      <c r="L64">
        <f t="shared" si="6"/>
        <v>0</v>
      </c>
      <c r="M64" t="e">
        <f t="shared" si="7"/>
        <v>#DIV/0!</v>
      </c>
    </row>
    <row r="65" spans="1:14" outlineLevel="3" x14ac:dyDescent="0.3">
      <c r="A65" s="121" t="s">
        <v>118</v>
      </c>
      <c r="B65" s="123" t="s">
        <v>37</v>
      </c>
      <c r="C65" s="4">
        <v>1</v>
      </c>
      <c r="D65" s="4">
        <v>1903</v>
      </c>
      <c r="E65" s="4" t="s">
        <v>38</v>
      </c>
      <c r="F65" s="4" t="s">
        <v>28</v>
      </c>
      <c r="G65" s="4" t="s">
        <v>47</v>
      </c>
      <c r="H65" s="34">
        <v>0.16700000000000001</v>
      </c>
      <c r="I65" s="4">
        <f t="shared" si="47"/>
        <v>0</v>
      </c>
      <c r="J65" s="6">
        <f t="shared" si="48"/>
        <v>0</v>
      </c>
      <c r="K65" s="15">
        <f t="shared" si="49"/>
        <v>0</v>
      </c>
      <c r="L65">
        <f t="shared" si="6"/>
        <v>0</v>
      </c>
      <c r="M65" t="e">
        <f t="shared" si="7"/>
        <v>#DIV/0!</v>
      </c>
    </row>
    <row r="66" spans="1:14" outlineLevel="3" x14ac:dyDescent="0.3">
      <c r="A66" s="125"/>
      <c r="B66" s="126"/>
      <c r="C66" s="4">
        <v>1</v>
      </c>
      <c r="D66" s="4">
        <v>1903</v>
      </c>
      <c r="E66" s="4" t="s">
        <v>39</v>
      </c>
      <c r="F66" s="4" t="s">
        <v>28</v>
      </c>
      <c r="G66" s="4" t="s">
        <v>47</v>
      </c>
      <c r="H66" s="34">
        <v>0.16700000000000001</v>
      </c>
      <c r="I66" s="4">
        <f t="shared" si="47"/>
        <v>0</v>
      </c>
      <c r="J66" s="6">
        <f t="shared" si="48"/>
        <v>0</v>
      </c>
      <c r="K66" s="15">
        <f t="shared" si="49"/>
        <v>0</v>
      </c>
      <c r="L66">
        <f t="shared" si="6"/>
        <v>0</v>
      </c>
      <c r="M66" t="e">
        <f t="shared" si="7"/>
        <v>#DIV/0!</v>
      </c>
    </row>
    <row r="67" spans="1:14" outlineLevel="3" x14ac:dyDescent="0.3">
      <c r="A67" s="125"/>
      <c r="B67" s="126"/>
      <c r="C67" s="4">
        <v>1</v>
      </c>
      <c r="D67" s="4">
        <v>1903</v>
      </c>
      <c r="E67" s="4" t="s">
        <v>40</v>
      </c>
      <c r="F67" s="4" t="s">
        <v>28</v>
      </c>
      <c r="G67" s="4" t="s">
        <v>47</v>
      </c>
      <c r="H67" s="34">
        <v>0.16700000000000001</v>
      </c>
      <c r="I67" s="4">
        <f t="shared" si="47"/>
        <v>0</v>
      </c>
      <c r="J67" s="6">
        <f t="shared" si="48"/>
        <v>0</v>
      </c>
      <c r="K67" s="15">
        <f t="shared" si="49"/>
        <v>0</v>
      </c>
      <c r="L67">
        <f t="shared" si="6"/>
        <v>0</v>
      </c>
      <c r="M67" t="e">
        <f t="shared" si="7"/>
        <v>#DIV/0!</v>
      </c>
    </row>
    <row r="68" spans="1:14" ht="28" outlineLevel="3" x14ac:dyDescent="0.3">
      <c r="A68" s="125"/>
      <c r="B68" s="126"/>
      <c r="C68" s="4">
        <v>1</v>
      </c>
      <c r="D68" s="4">
        <v>1903</v>
      </c>
      <c r="E68" s="4" t="s">
        <v>41</v>
      </c>
      <c r="F68" s="4" t="s">
        <v>27</v>
      </c>
      <c r="G68" s="26" t="s">
        <v>59</v>
      </c>
      <c r="H68" s="34">
        <v>0.16700000000000001</v>
      </c>
      <c r="I68" s="4">
        <f t="shared" si="47"/>
        <v>11395.209580838322</v>
      </c>
      <c r="J68" s="6">
        <f t="shared" si="48"/>
        <v>8.7756174461376787E-5</v>
      </c>
      <c r="K68" s="15">
        <f t="shared" si="49"/>
        <v>8.7756174461376787E-5</v>
      </c>
      <c r="L68">
        <f t="shared" si="6"/>
        <v>59.986994819523119</v>
      </c>
      <c r="M68">
        <f t="shared" si="7"/>
        <v>11395.209580838324</v>
      </c>
    </row>
    <row r="69" spans="1:14" outlineLevel="3" x14ac:dyDescent="0.3">
      <c r="A69" s="125"/>
      <c r="B69" s="126"/>
      <c r="C69" s="4">
        <v>1</v>
      </c>
      <c r="D69" s="4">
        <v>1903</v>
      </c>
      <c r="E69" s="4" t="s">
        <v>42</v>
      </c>
      <c r="F69" s="4" t="s">
        <v>28</v>
      </c>
      <c r="G69" s="4" t="s">
        <v>47</v>
      </c>
      <c r="H69" s="34">
        <v>0.16700000000000001</v>
      </c>
      <c r="I69" s="4">
        <f t="shared" si="47"/>
        <v>0</v>
      </c>
      <c r="J69" s="6">
        <f t="shared" si="48"/>
        <v>0</v>
      </c>
      <c r="K69" s="15">
        <f t="shared" si="49"/>
        <v>0</v>
      </c>
      <c r="L69">
        <f t="shared" si="6"/>
        <v>0</v>
      </c>
      <c r="M69" t="e">
        <f t="shared" si="7"/>
        <v>#DIV/0!</v>
      </c>
    </row>
    <row r="70" spans="1:14" outlineLevel="3" x14ac:dyDescent="0.3">
      <c r="A70" s="122"/>
      <c r="B70" s="124"/>
      <c r="C70" s="4">
        <v>1</v>
      </c>
      <c r="D70" s="4">
        <v>1903</v>
      </c>
      <c r="E70" s="4" t="s">
        <v>43</v>
      </c>
      <c r="F70" s="4" t="s">
        <v>179</v>
      </c>
      <c r="G70" s="4" t="s">
        <v>47</v>
      </c>
      <c r="H70" s="34">
        <v>0.16700000000000001</v>
      </c>
      <c r="I70" s="4">
        <f t="shared" si="47"/>
        <v>0</v>
      </c>
      <c r="J70" s="6">
        <f t="shared" si="48"/>
        <v>0</v>
      </c>
      <c r="K70" s="15">
        <f t="shared" si="49"/>
        <v>0</v>
      </c>
      <c r="L70">
        <f t="shared" si="6"/>
        <v>0</v>
      </c>
      <c r="M70" t="e">
        <f t="shared" si="7"/>
        <v>#DIV/0!</v>
      </c>
    </row>
    <row r="71" spans="1:14" outlineLevel="3" x14ac:dyDescent="0.3">
      <c r="A71" s="121" t="s">
        <v>174</v>
      </c>
      <c r="B71" s="123" t="s">
        <v>49</v>
      </c>
      <c r="C71" s="4">
        <v>2</v>
      </c>
      <c r="D71" s="4">
        <v>114155</v>
      </c>
      <c r="E71" s="4" t="s">
        <v>20</v>
      </c>
      <c r="F71" s="4" t="s">
        <v>28</v>
      </c>
      <c r="G71" s="4" t="s">
        <v>25</v>
      </c>
      <c r="H71" s="5">
        <v>0.5</v>
      </c>
      <c r="I71" s="4">
        <f t="shared" si="47"/>
        <v>0</v>
      </c>
      <c r="J71" s="6">
        <f t="shared" si="48"/>
        <v>0</v>
      </c>
      <c r="K71" s="15">
        <f t="shared" si="49"/>
        <v>0</v>
      </c>
      <c r="L71">
        <f t="shared" si="6"/>
        <v>0</v>
      </c>
      <c r="M71" t="e">
        <f t="shared" si="7"/>
        <v>#DIV/0!</v>
      </c>
    </row>
    <row r="72" spans="1:14" outlineLevel="3" x14ac:dyDescent="0.3">
      <c r="A72" s="122"/>
      <c r="B72" s="124"/>
      <c r="C72" s="4">
        <v>2</v>
      </c>
      <c r="D72" s="4">
        <v>114155</v>
      </c>
      <c r="E72" s="4" t="s">
        <v>29</v>
      </c>
      <c r="F72" s="4" t="s">
        <v>156</v>
      </c>
      <c r="G72" s="4" t="s">
        <v>47</v>
      </c>
      <c r="H72" s="5">
        <v>0.5</v>
      </c>
      <c r="I72" s="4">
        <f t="shared" si="47"/>
        <v>228310</v>
      </c>
      <c r="J72" s="6">
        <f t="shared" si="48"/>
        <v>4.3800096360211989E-6</v>
      </c>
      <c r="K72" s="15">
        <f t="shared" si="49"/>
        <v>8.7600192720423978E-6</v>
      </c>
      <c r="L72">
        <f t="shared" si="6"/>
        <v>1.0000022000048399</v>
      </c>
      <c r="M72">
        <f t="shared" si="7"/>
        <v>114155.00000000003</v>
      </c>
    </row>
    <row r="73" spans="1:14" outlineLevel="3" x14ac:dyDescent="0.3">
      <c r="A73" s="121" t="s">
        <v>176</v>
      </c>
      <c r="B73" s="123" t="s">
        <v>191</v>
      </c>
      <c r="C73" s="29">
        <v>1</v>
      </c>
      <c r="D73" s="4">
        <v>16308</v>
      </c>
      <c r="E73" s="4" t="s">
        <v>30</v>
      </c>
      <c r="F73" s="4" t="s">
        <v>157</v>
      </c>
      <c r="G73" s="4" t="s">
        <v>25</v>
      </c>
      <c r="H73" s="5">
        <v>0.5</v>
      </c>
      <c r="I73" s="4">
        <f t="shared" si="47"/>
        <v>0</v>
      </c>
      <c r="J73" s="6">
        <f t="shared" si="48"/>
        <v>0</v>
      </c>
      <c r="K73" s="15">
        <f t="shared" si="49"/>
        <v>0</v>
      </c>
      <c r="L73">
        <f t="shared" si="6"/>
        <v>0</v>
      </c>
      <c r="M73" t="e">
        <f t="shared" si="7"/>
        <v>#DIV/0!</v>
      </c>
      <c r="N73" t="e">
        <f t="shared" ref="N73:N74" si="50">1/M73</f>
        <v>#DIV/0!</v>
      </c>
    </row>
    <row r="74" spans="1:14" outlineLevel="3" x14ac:dyDescent="0.3">
      <c r="A74" s="122"/>
      <c r="B74" s="124"/>
      <c r="C74" s="29">
        <v>1</v>
      </c>
      <c r="D74" s="4">
        <v>16308</v>
      </c>
      <c r="E74" s="4" t="s">
        <v>29</v>
      </c>
      <c r="F74" s="4" t="s">
        <v>156</v>
      </c>
      <c r="G74" s="4" t="s">
        <v>47</v>
      </c>
      <c r="H74" s="5">
        <v>0.5</v>
      </c>
      <c r="I74" s="4">
        <f t="shared" si="47"/>
        <v>32616</v>
      </c>
      <c r="J74" s="6">
        <f t="shared" si="48"/>
        <v>3.0659798871719399E-5</v>
      </c>
      <c r="K74" s="15">
        <f t="shared" si="49"/>
        <v>3.0659798871719399E-5</v>
      </c>
      <c r="L74">
        <f t="shared" si="6"/>
        <v>6.999954080301233</v>
      </c>
      <c r="M74">
        <f t="shared" si="7"/>
        <v>32616</v>
      </c>
      <c r="N74">
        <f t="shared" si="50"/>
        <v>3.0659798871719399E-5</v>
      </c>
    </row>
    <row r="75" spans="1:14" ht="28" outlineLevel="3" x14ac:dyDescent="0.3">
      <c r="A75" s="121" t="s">
        <v>177</v>
      </c>
      <c r="B75" s="123" t="s">
        <v>9</v>
      </c>
      <c r="C75" s="4">
        <v>2</v>
      </c>
      <c r="D75" s="4">
        <v>114155</v>
      </c>
      <c r="E75" s="4" t="s">
        <v>20</v>
      </c>
      <c r="F75" s="4" t="s">
        <v>28</v>
      </c>
      <c r="G75" s="26" t="s">
        <v>58</v>
      </c>
      <c r="H75" s="5">
        <v>0.5</v>
      </c>
      <c r="I75" s="8">
        <f t="shared" si="47"/>
        <v>0</v>
      </c>
      <c r="J75" s="9">
        <f t="shared" ref="J75:J76" si="51">IF(I75= 0,0,1/I75)</f>
        <v>0</v>
      </c>
      <c r="K75" s="17">
        <f t="shared" si="49"/>
        <v>0</v>
      </c>
      <c r="L75">
        <f t="shared" si="6"/>
        <v>0</v>
      </c>
      <c r="M75" t="e">
        <f t="shared" si="7"/>
        <v>#DIV/0!</v>
      </c>
    </row>
    <row r="76" spans="1:14" outlineLevel="3" x14ac:dyDescent="0.3">
      <c r="A76" s="122"/>
      <c r="B76" s="124"/>
      <c r="C76" s="4">
        <v>2</v>
      </c>
      <c r="D76" s="4">
        <v>114155</v>
      </c>
      <c r="E76" s="4" t="s">
        <v>29</v>
      </c>
      <c r="F76" s="4" t="s">
        <v>28</v>
      </c>
      <c r="G76" s="4" t="s">
        <v>25</v>
      </c>
      <c r="H76" s="5">
        <v>0.5</v>
      </c>
      <c r="I76" s="8">
        <f>IF(F76="yes",D76/H76,0)</f>
        <v>0</v>
      </c>
      <c r="J76" s="9">
        <f t="shared" si="51"/>
        <v>0</v>
      </c>
      <c r="K76" s="17">
        <f>J76*C76</f>
        <v>0</v>
      </c>
      <c r="L76">
        <f t="shared" si="6"/>
        <v>0</v>
      </c>
      <c r="M76" t="e">
        <f t="shared" si="7"/>
        <v>#DIV/0!</v>
      </c>
    </row>
    <row r="77" spans="1:14" outlineLevel="3" x14ac:dyDescent="0.3">
      <c r="A77" s="121" t="s">
        <v>180</v>
      </c>
      <c r="B77" s="123" t="s">
        <v>7</v>
      </c>
      <c r="C77" s="4">
        <v>5</v>
      </c>
      <c r="D77" s="4">
        <v>114155</v>
      </c>
      <c r="E77" s="4" t="s">
        <v>20</v>
      </c>
      <c r="F77" s="4" t="s">
        <v>28</v>
      </c>
      <c r="G77" s="4" t="s">
        <v>25</v>
      </c>
      <c r="H77" s="5">
        <v>0.5</v>
      </c>
      <c r="I77" s="4">
        <f t="shared" ref="I77:I78" si="52">IF(F77="yes",D77/H77,0)</f>
        <v>0</v>
      </c>
      <c r="J77" s="6">
        <f t="shared" ref="J77:J78" si="53">IF(I77= 0,0,1/I77)</f>
        <v>0</v>
      </c>
      <c r="K77" s="15">
        <f t="shared" ref="K77:K78" si="54">J77*C77</f>
        <v>0</v>
      </c>
      <c r="L77">
        <f t="shared" ref="L77:L78" si="55">IF(F77="yes",1/(D77*365*24*0.000000001),0)</f>
        <v>0</v>
      </c>
      <c r="M77" t="e">
        <f t="shared" ref="M77:M78" si="56">1000000000/(C77*L77*H77*365*24)</f>
        <v>#DIV/0!</v>
      </c>
    </row>
    <row r="78" spans="1:14" outlineLevel="3" x14ac:dyDescent="0.3">
      <c r="A78" s="122"/>
      <c r="B78" s="124"/>
      <c r="C78" s="4">
        <v>5</v>
      </c>
      <c r="D78" s="4">
        <v>114155</v>
      </c>
      <c r="E78" s="4" t="s">
        <v>24</v>
      </c>
      <c r="F78" s="4" t="s">
        <v>28</v>
      </c>
      <c r="G78" s="4" t="s">
        <v>25</v>
      </c>
      <c r="H78" s="5">
        <v>0.5</v>
      </c>
      <c r="I78" s="4">
        <f t="shared" si="52"/>
        <v>0</v>
      </c>
      <c r="J78" s="6">
        <f t="shared" si="53"/>
        <v>0</v>
      </c>
      <c r="K78" s="15">
        <f t="shared" si="54"/>
        <v>0</v>
      </c>
      <c r="L78">
        <f t="shared" si="55"/>
        <v>0</v>
      </c>
      <c r="M78" t="e">
        <f t="shared" si="56"/>
        <v>#DIV/0!</v>
      </c>
    </row>
    <row r="79" spans="1:14" outlineLevel="3" x14ac:dyDescent="0.3">
      <c r="A79" s="121" t="s">
        <v>181</v>
      </c>
      <c r="B79" s="123" t="s">
        <v>7</v>
      </c>
      <c r="C79" s="4">
        <v>3</v>
      </c>
      <c r="D79" s="4">
        <v>114155</v>
      </c>
      <c r="E79" s="4" t="s">
        <v>20</v>
      </c>
      <c r="F79" s="4" t="s">
        <v>156</v>
      </c>
      <c r="G79" s="4" t="s">
        <v>25</v>
      </c>
      <c r="H79" s="5">
        <v>0.5</v>
      </c>
      <c r="I79" s="4">
        <f t="shared" si="47"/>
        <v>228310</v>
      </c>
      <c r="J79" s="6">
        <f t="shared" si="48"/>
        <v>4.3800096360211989E-6</v>
      </c>
      <c r="K79" s="15">
        <f t="shared" si="49"/>
        <v>1.3140028908063597E-5</v>
      </c>
      <c r="L79">
        <f t="shared" si="6"/>
        <v>1.0000022000048399</v>
      </c>
      <c r="M79">
        <f t="shared" si="7"/>
        <v>76103.333333333328</v>
      </c>
    </row>
    <row r="80" spans="1:14" outlineLevel="3" x14ac:dyDescent="0.3">
      <c r="A80" s="122"/>
      <c r="B80" s="124"/>
      <c r="C80" s="4">
        <v>3</v>
      </c>
      <c r="D80" s="4">
        <v>114155</v>
      </c>
      <c r="E80" s="4" t="s">
        <v>24</v>
      </c>
      <c r="F80" s="4" t="s">
        <v>28</v>
      </c>
      <c r="G80" s="4" t="s">
        <v>25</v>
      </c>
      <c r="H80" s="5">
        <v>0.5</v>
      </c>
      <c r="I80" s="4">
        <f t="shared" si="47"/>
        <v>0</v>
      </c>
      <c r="J80" s="6">
        <f t="shared" si="48"/>
        <v>0</v>
      </c>
      <c r="K80" s="15">
        <f t="shared" si="49"/>
        <v>0</v>
      </c>
      <c r="L80">
        <f t="shared" si="6"/>
        <v>0</v>
      </c>
      <c r="M80" t="e">
        <f t="shared" si="7"/>
        <v>#DIV/0!</v>
      </c>
    </row>
    <row r="81" spans="1:14" outlineLevel="3" x14ac:dyDescent="0.3">
      <c r="A81" s="121" t="s">
        <v>128</v>
      </c>
      <c r="B81" s="123" t="s">
        <v>10</v>
      </c>
      <c r="C81" s="4">
        <v>1</v>
      </c>
      <c r="D81" s="4">
        <v>1522</v>
      </c>
      <c r="E81" s="4" t="s">
        <v>50</v>
      </c>
      <c r="F81" s="4" t="s">
        <v>28</v>
      </c>
      <c r="G81" s="4" t="s">
        <v>25</v>
      </c>
      <c r="H81" s="34">
        <v>0.16700000000000001</v>
      </c>
      <c r="I81" s="4">
        <f t="shared" ref="I81:I87" si="57">IF(F81="yes",D81/H81,0)</f>
        <v>0</v>
      </c>
      <c r="J81" s="6">
        <f t="shared" si="48"/>
        <v>0</v>
      </c>
      <c r="K81" s="15">
        <f t="shared" ref="K81:K87" si="58">J81*C81</f>
        <v>0</v>
      </c>
      <c r="L81">
        <f t="shared" si="6"/>
        <v>0</v>
      </c>
      <c r="M81" t="e">
        <f t="shared" si="7"/>
        <v>#DIV/0!</v>
      </c>
      <c r="N81" t="e">
        <f>M81/3</f>
        <v>#DIV/0!</v>
      </c>
    </row>
    <row r="82" spans="1:14" outlineLevel="3" x14ac:dyDescent="0.3">
      <c r="A82" s="125"/>
      <c r="B82" s="126"/>
      <c r="C82" s="4">
        <v>1</v>
      </c>
      <c r="D82" s="4">
        <v>1522</v>
      </c>
      <c r="E82" s="4" t="s">
        <v>51</v>
      </c>
      <c r="F82" s="4" t="s">
        <v>28</v>
      </c>
      <c r="G82" s="4" t="s">
        <v>25</v>
      </c>
      <c r="H82" s="34">
        <v>0.16700000000000001</v>
      </c>
      <c r="I82" s="4">
        <f t="shared" si="57"/>
        <v>0</v>
      </c>
      <c r="J82" s="6">
        <f t="shared" si="48"/>
        <v>0</v>
      </c>
      <c r="K82" s="15">
        <f t="shared" si="58"/>
        <v>0</v>
      </c>
      <c r="L82">
        <f t="shared" si="6"/>
        <v>0</v>
      </c>
      <c r="M82" t="e">
        <f t="shared" si="7"/>
        <v>#DIV/0!</v>
      </c>
    </row>
    <row r="83" spans="1:14" outlineLevel="3" x14ac:dyDescent="0.3">
      <c r="A83" s="125"/>
      <c r="B83" s="126"/>
      <c r="C83" s="4">
        <v>1</v>
      </c>
      <c r="D83" s="4">
        <v>1522</v>
      </c>
      <c r="E83" s="4" t="s">
        <v>52</v>
      </c>
      <c r="F83" s="4" t="s">
        <v>28</v>
      </c>
      <c r="G83" s="4" t="s">
        <v>25</v>
      </c>
      <c r="H83" s="34">
        <v>0.16700000000000001</v>
      </c>
      <c r="I83" s="4">
        <f t="shared" si="57"/>
        <v>0</v>
      </c>
      <c r="J83" s="6">
        <f t="shared" si="48"/>
        <v>0</v>
      </c>
      <c r="K83" s="15">
        <f t="shared" si="58"/>
        <v>0</v>
      </c>
      <c r="L83">
        <f t="shared" si="6"/>
        <v>0</v>
      </c>
      <c r="M83" t="e">
        <f t="shared" si="7"/>
        <v>#DIV/0!</v>
      </c>
    </row>
    <row r="84" spans="1:14" ht="28" outlineLevel="3" x14ac:dyDescent="0.3">
      <c r="A84" s="125"/>
      <c r="B84" s="126"/>
      <c r="C84" s="4">
        <v>1</v>
      </c>
      <c r="D84" s="4">
        <v>1522</v>
      </c>
      <c r="E84" s="4" t="s">
        <v>53</v>
      </c>
      <c r="F84" s="4" t="s">
        <v>156</v>
      </c>
      <c r="G84" s="26" t="s">
        <v>56</v>
      </c>
      <c r="H84" s="34">
        <v>0.16700000000000001</v>
      </c>
      <c r="I84" s="4">
        <f t="shared" si="57"/>
        <v>9113.7724550898201</v>
      </c>
      <c r="J84" s="6">
        <f t="shared" si="48"/>
        <v>1.0972404730617609E-4</v>
      </c>
      <c r="K84" s="15">
        <f t="shared" si="58"/>
        <v>1.0972404730617609E-4</v>
      </c>
      <c r="L84">
        <f t="shared" si="6"/>
        <v>75.003450158707295</v>
      </c>
      <c r="M84">
        <f t="shared" si="7"/>
        <v>9113.772455089822</v>
      </c>
    </row>
    <row r="85" spans="1:14" ht="28" outlineLevel="3" x14ac:dyDescent="0.3">
      <c r="A85" s="125"/>
      <c r="B85" s="126"/>
      <c r="C85" s="4">
        <v>1</v>
      </c>
      <c r="D85" s="4">
        <v>1522</v>
      </c>
      <c r="E85" s="4" t="s">
        <v>54</v>
      </c>
      <c r="F85" s="4" t="s">
        <v>156</v>
      </c>
      <c r="G85" s="26" t="s">
        <v>57</v>
      </c>
      <c r="H85" s="34">
        <v>0.16700000000000001</v>
      </c>
      <c r="I85" s="4">
        <f t="shared" si="57"/>
        <v>9113.7724550898201</v>
      </c>
      <c r="J85" s="6">
        <f t="shared" si="48"/>
        <v>1.0972404730617609E-4</v>
      </c>
      <c r="K85" s="15">
        <f t="shared" si="58"/>
        <v>1.0972404730617609E-4</v>
      </c>
      <c r="L85">
        <f t="shared" si="6"/>
        <v>75.003450158707295</v>
      </c>
      <c r="M85">
        <f t="shared" si="7"/>
        <v>9113.772455089822</v>
      </c>
    </row>
    <row r="86" spans="1:14" ht="28" outlineLevel="3" x14ac:dyDescent="0.3">
      <c r="A86" s="122"/>
      <c r="B86" s="124"/>
      <c r="C86" s="4">
        <v>1</v>
      </c>
      <c r="D86" s="4">
        <v>1522</v>
      </c>
      <c r="E86" s="4" t="s">
        <v>55</v>
      </c>
      <c r="F86" s="4" t="s">
        <v>156</v>
      </c>
      <c r="G86" s="26" t="s">
        <v>57</v>
      </c>
      <c r="H86" s="34">
        <v>0.16700000000000001</v>
      </c>
      <c r="I86" s="4">
        <f t="shared" si="57"/>
        <v>9113.7724550898201</v>
      </c>
      <c r="J86" s="6">
        <f t="shared" si="48"/>
        <v>1.0972404730617609E-4</v>
      </c>
      <c r="K86" s="15">
        <f t="shared" si="58"/>
        <v>1.0972404730617609E-4</v>
      </c>
      <c r="L86">
        <f t="shared" ref="L86:L159" si="59">IF(F86="yes",1/(D86*365*24*0.000000001),0)</f>
        <v>75.003450158707295</v>
      </c>
      <c r="M86">
        <f t="shared" ref="M86:M159" si="60">1000000000/(C86*L86*H86*365*24)</f>
        <v>9113.772455089822</v>
      </c>
    </row>
    <row r="87" spans="1:14" ht="28" outlineLevel="3" x14ac:dyDescent="0.3">
      <c r="A87" s="121" t="s">
        <v>119</v>
      </c>
      <c r="B87" s="123" t="s">
        <v>9</v>
      </c>
      <c r="C87" s="4">
        <v>2</v>
      </c>
      <c r="D87" s="4">
        <v>114155</v>
      </c>
      <c r="E87" s="4" t="s">
        <v>20</v>
      </c>
      <c r="F87" s="4" t="s">
        <v>28</v>
      </c>
      <c r="G87" s="26" t="s">
        <v>58</v>
      </c>
      <c r="H87" s="5">
        <v>0.5</v>
      </c>
      <c r="I87" s="8">
        <f t="shared" si="57"/>
        <v>0</v>
      </c>
      <c r="J87" s="9">
        <f t="shared" si="48"/>
        <v>0</v>
      </c>
      <c r="K87" s="17">
        <f t="shared" si="58"/>
        <v>0</v>
      </c>
      <c r="L87">
        <f t="shared" si="59"/>
        <v>0</v>
      </c>
      <c r="M87" t="e">
        <f t="shared" si="60"/>
        <v>#DIV/0!</v>
      </c>
    </row>
    <row r="88" spans="1:14" outlineLevel="3" x14ac:dyDescent="0.3">
      <c r="A88" s="122"/>
      <c r="B88" s="124"/>
      <c r="C88" s="4">
        <v>2</v>
      </c>
      <c r="D88" s="4">
        <v>114155</v>
      </c>
      <c r="E88" s="4" t="s">
        <v>29</v>
      </c>
      <c r="F88" s="4" t="s">
        <v>28</v>
      </c>
      <c r="G88" s="4" t="s">
        <v>25</v>
      </c>
      <c r="H88" s="5">
        <v>0.5</v>
      </c>
      <c r="I88" s="8">
        <f>IF(F88="yes",D88/H88,0)</f>
        <v>0</v>
      </c>
      <c r="J88" s="9">
        <f t="shared" si="48"/>
        <v>0</v>
      </c>
      <c r="K88" s="17">
        <f>J88*C88</f>
        <v>0</v>
      </c>
      <c r="L88">
        <f t="shared" si="59"/>
        <v>0</v>
      </c>
      <c r="M88" t="e">
        <f t="shared" si="60"/>
        <v>#DIV/0!</v>
      </c>
    </row>
    <row r="89" spans="1:14" outlineLevel="3" x14ac:dyDescent="0.3">
      <c r="A89" s="121" t="s">
        <v>175</v>
      </c>
      <c r="B89" s="123" t="s">
        <v>37</v>
      </c>
      <c r="C89" s="4">
        <v>2</v>
      </c>
      <c r="D89" s="4">
        <v>1903</v>
      </c>
      <c r="E89" s="4" t="s">
        <v>38</v>
      </c>
      <c r="F89" s="4" t="s">
        <v>28</v>
      </c>
      <c r="G89" s="4" t="s">
        <v>47</v>
      </c>
      <c r="H89" s="34">
        <v>0.16700000000000001</v>
      </c>
      <c r="I89" s="4">
        <f t="shared" ref="I89:I115" si="61">IF(F89="yes",D89/H89,0)</f>
        <v>0</v>
      </c>
      <c r="J89" s="6">
        <f t="shared" si="48"/>
        <v>0</v>
      </c>
      <c r="K89" s="15">
        <f t="shared" ref="K89:K112" si="62">J89*C89</f>
        <v>0</v>
      </c>
      <c r="L89">
        <f t="shared" si="59"/>
        <v>0</v>
      </c>
      <c r="M89" t="e">
        <f t="shared" si="60"/>
        <v>#DIV/0!</v>
      </c>
    </row>
    <row r="90" spans="1:14" outlineLevel="3" x14ac:dyDescent="0.3">
      <c r="A90" s="125"/>
      <c r="B90" s="126"/>
      <c r="C90" s="4">
        <v>2</v>
      </c>
      <c r="D90" s="4">
        <v>1903</v>
      </c>
      <c r="E90" s="4" t="s">
        <v>39</v>
      </c>
      <c r="F90" s="4" t="s">
        <v>28</v>
      </c>
      <c r="G90" s="4" t="s">
        <v>47</v>
      </c>
      <c r="H90" s="34">
        <v>0.16700000000000001</v>
      </c>
      <c r="I90" s="4">
        <f t="shared" si="61"/>
        <v>0</v>
      </c>
      <c r="J90" s="6">
        <f t="shared" si="48"/>
        <v>0</v>
      </c>
      <c r="K90" s="15">
        <f t="shared" si="62"/>
        <v>0</v>
      </c>
      <c r="L90">
        <f t="shared" si="59"/>
        <v>0</v>
      </c>
      <c r="M90" t="e">
        <f t="shared" si="60"/>
        <v>#DIV/0!</v>
      </c>
    </row>
    <row r="91" spans="1:14" outlineLevel="3" x14ac:dyDescent="0.3">
      <c r="A91" s="125"/>
      <c r="B91" s="126"/>
      <c r="C91" s="4">
        <v>2</v>
      </c>
      <c r="D91" s="4">
        <v>1903</v>
      </c>
      <c r="E91" s="4" t="s">
        <v>40</v>
      </c>
      <c r="F91" s="4" t="s">
        <v>28</v>
      </c>
      <c r="G91" s="4" t="s">
        <v>47</v>
      </c>
      <c r="H91" s="34">
        <v>0.16700000000000001</v>
      </c>
      <c r="I91" s="4">
        <f t="shared" si="61"/>
        <v>0</v>
      </c>
      <c r="J91" s="6">
        <f t="shared" si="48"/>
        <v>0</v>
      </c>
      <c r="K91" s="15">
        <f t="shared" si="62"/>
        <v>0</v>
      </c>
      <c r="L91">
        <f t="shared" si="59"/>
        <v>0</v>
      </c>
      <c r="M91" t="e">
        <f t="shared" si="60"/>
        <v>#DIV/0!</v>
      </c>
    </row>
    <row r="92" spans="1:14" ht="28" outlineLevel="3" x14ac:dyDescent="0.3">
      <c r="A92" s="125"/>
      <c r="B92" s="126"/>
      <c r="C92" s="4">
        <v>2</v>
      </c>
      <c r="D92" s="4">
        <v>1903</v>
      </c>
      <c r="E92" s="4" t="s">
        <v>41</v>
      </c>
      <c r="F92" s="4" t="s">
        <v>27</v>
      </c>
      <c r="G92" s="26" t="s">
        <v>59</v>
      </c>
      <c r="H92" s="34">
        <v>0.16700000000000001</v>
      </c>
      <c r="I92" s="4">
        <f t="shared" si="61"/>
        <v>11395.209580838322</v>
      </c>
      <c r="J92" s="6">
        <f t="shared" si="48"/>
        <v>8.7756174461376787E-5</v>
      </c>
      <c r="K92" s="15">
        <f t="shared" si="62"/>
        <v>1.7551234892275357E-4</v>
      </c>
      <c r="L92">
        <f t="shared" si="59"/>
        <v>59.986994819523119</v>
      </c>
      <c r="M92">
        <f t="shared" si="60"/>
        <v>5697.6047904191619</v>
      </c>
    </row>
    <row r="93" spans="1:14" outlineLevel="3" x14ac:dyDescent="0.3">
      <c r="A93" s="125"/>
      <c r="B93" s="126"/>
      <c r="C93" s="4">
        <v>2</v>
      </c>
      <c r="D93" s="4">
        <v>1903</v>
      </c>
      <c r="E93" s="4" t="s">
        <v>42</v>
      </c>
      <c r="F93" s="4" t="s">
        <v>28</v>
      </c>
      <c r="G93" s="4" t="s">
        <v>47</v>
      </c>
      <c r="H93" s="34">
        <v>0.16700000000000001</v>
      </c>
      <c r="I93" s="4">
        <f t="shared" si="61"/>
        <v>0</v>
      </c>
      <c r="J93" s="6">
        <f t="shared" si="48"/>
        <v>0</v>
      </c>
      <c r="K93" s="15">
        <f t="shared" si="62"/>
        <v>0</v>
      </c>
      <c r="L93">
        <f t="shared" si="59"/>
        <v>0</v>
      </c>
      <c r="M93" t="e">
        <f t="shared" si="60"/>
        <v>#DIV/0!</v>
      </c>
    </row>
    <row r="94" spans="1:14" outlineLevel="3" x14ac:dyDescent="0.3">
      <c r="A94" s="122"/>
      <c r="B94" s="124"/>
      <c r="C94" s="4">
        <v>2</v>
      </c>
      <c r="D94" s="4">
        <v>1903</v>
      </c>
      <c r="E94" s="4" t="s">
        <v>43</v>
      </c>
      <c r="F94" s="4" t="s">
        <v>28</v>
      </c>
      <c r="G94" s="4" t="s">
        <v>47</v>
      </c>
      <c r="H94" s="34">
        <v>0.16700000000000001</v>
      </c>
      <c r="I94" s="4">
        <f t="shared" si="61"/>
        <v>0</v>
      </c>
      <c r="J94" s="6">
        <f t="shared" si="48"/>
        <v>0</v>
      </c>
      <c r="K94" s="15">
        <f t="shared" si="62"/>
        <v>0</v>
      </c>
      <c r="L94">
        <f t="shared" si="59"/>
        <v>0</v>
      </c>
      <c r="M94" t="e">
        <f t="shared" si="60"/>
        <v>#DIV/0!</v>
      </c>
    </row>
    <row r="95" spans="1:14" outlineLevel="3" x14ac:dyDescent="0.3">
      <c r="A95" s="121" t="s">
        <v>189</v>
      </c>
      <c r="B95" s="123" t="s">
        <v>37</v>
      </c>
      <c r="C95" s="4">
        <v>3</v>
      </c>
      <c r="D95" s="4">
        <v>1903</v>
      </c>
      <c r="E95" s="4" t="s">
        <v>38</v>
      </c>
      <c r="F95" s="4" t="s">
        <v>28</v>
      </c>
      <c r="G95" s="4" t="s">
        <v>47</v>
      </c>
      <c r="H95" s="34">
        <v>0.16700000000000001</v>
      </c>
      <c r="I95" s="4">
        <f t="shared" ref="I95:I100" si="63">IF(F95="yes",D95/H95,0)</f>
        <v>0</v>
      </c>
      <c r="J95" s="6">
        <f t="shared" ref="J95:J100" si="64">IF(I95= 0,0,1/I95)</f>
        <v>0</v>
      </c>
      <c r="K95" s="15">
        <f t="shared" ref="K95:K100" si="65">J95*C95</f>
        <v>0</v>
      </c>
      <c r="L95">
        <f t="shared" ref="L95:L100" si="66">IF(F95="yes",1/(D95*365*24*0.000000001),0)</f>
        <v>0</v>
      </c>
      <c r="M95" t="e">
        <f t="shared" ref="M95:M100" si="67">1000000000/(C95*L95*H95*365*24)</f>
        <v>#DIV/0!</v>
      </c>
    </row>
    <row r="96" spans="1:14" outlineLevel="3" x14ac:dyDescent="0.3">
      <c r="A96" s="125"/>
      <c r="B96" s="126"/>
      <c r="C96" s="4">
        <v>3</v>
      </c>
      <c r="D96" s="4">
        <v>1903</v>
      </c>
      <c r="E96" s="4" t="s">
        <v>39</v>
      </c>
      <c r="F96" s="4" t="s">
        <v>28</v>
      </c>
      <c r="G96" s="4" t="s">
        <v>47</v>
      </c>
      <c r="H96" s="34">
        <v>0.16700000000000001</v>
      </c>
      <c r="I96" s="4">
        <f t="shared" si="63"/>
        <v>0</v>
      </c>
      <c r="J96" s="6">
        <f t="shared" si="64"/>
        <v>0</v>
      </c>
      <c r="K96" s="15">
        <f t="shared" si="65"/>
        <v>0</v>
      </c>
      <c r="L96">
        <f t="shared" si="66"/>
        <v>0</v>
      </c>
      <c r="M96" t="e">
        <f t="shared" si="67"/>
        <v>#DIV/0!</v>
      </c>
    </row>
    <row r="97" spans="1:13" outlineLevel="3" x14ac:dyDescent="0.3">
      <c r="A97" s="125"/>
      <c r="B97" s="126"/>
      <c r="C97" s="4">
        <v>3</v>
      </c>
      <c r="D97" s="4">
        <v>1903</v>
      </c>
      <c r="E97" s="4" t="s">
        <v>40</v>
      </c>
      <c r="F97" s="4" t="s">
        <v>28</v>
      </c>
      <c r="G97" s="4" t="s">
        <v>47</v>
      </c>
      <c r="H97" s="34">
        <v>0.16700000000000001</v>
      </c>
      <c r="I97" s="4">
        <f t="shared" si="63"/>
        <v>0</v>
      </c>
      <c r="J97" s="6">
        <f t="shared" si="64"/>
        <v>0</v>
      </c>
      <c r="K97" s="15">
        <f t="shared" si="65"/>
        <v>0</v>
      </c>
      <c r="L97">
        <f t="shared" si="66"/>
        <v>0</v>
      </c>
      <c r="M97" t="e">
        <f t="shared" si="67"/>
        <v>#DIV/0!</v>
      </c>
    </row>
    <row r="98" spans="1:13" outlineLevel="3" x14ac:dyDescent="0.3">
      <c r="A98" s="125"/>
      <c r="B98" s="126"/>
      <c r="C98" s="4">
        <v>3</v>
      </c>
      <c r="D98" s="4">
        <v>1903</v>
      </c>
      <c r="E98" s="4" t="s">
        <v>41</v>
      </c>
      <c r="F98" s="4" t="s">
        <v>27</v>
      </c>
      <c r="G98" s="4" t="s">
        <v>47</v>
      </c>
      <c r="H98" s="34">
        <v>0.16700000000000001</v>
      </c>
      <c r="I98" s="4">
        <f t="shared" si="63"/>
        <v>11395.209580838322</v>
      </c>
      <c r="J98" s="6">
        <f t="shared" si="64"/>
        <v>8.7756174461376787E-5</v>
      </c>
      <c r="K98" s="15">
        <f t="shared" si="65"/>
        <v>2.6326852338413035E-4</v>
      </c>
      <c r="L98">
        <f t="shared" si="66"/>
        <v>59.986994819523119</v>
      </c>
      <c r="M98">
        <f t="shared" si="67"/>
        <v>3798.4031936127744</v>
      </c>
    </row>
    <row r="99" spans="1:13" outlineLevel="3" x14ac:dyDescent="0.3">
      <c r="A99" s="125"/>
      <c r="B99" s="126"/>
      <c r="C99" s="4">
        <v>3</v>
      </c>
      <c r="D99" s="4">
        <v>1903</v>
      </c>
      <c r="E99" s="4" t="s">
        <v>42</v>
      </c>
      <c r="F99" s="4" t="s">
        <v>28</v>
      </c>
      <c r="G99" s="4" t="s">
        <v>47</v>
      </c>
      <c r="H99" s="34">
        <v>0.16700000000000001</v>
      </c>
      <c r="I99" s="4">
        <f t="shared" si="63"/>
        <v>0</v>
      </c>
      <c r="J99" s="6">
        <f t="shared" si="64"/>
        <v>0</v>
      </c>
      <c r="K99" s="15">
        <f t="shared" si="65"/>
        <v>0</v>
      </c>
      <c r="L99">
        <f t="shared" si="66"/>
        <v>0</v>
      </c>
      <c r="M99" t="e">
        <f t="shared" si="67"/>
        <v>#DIV/0!</v>
      </c>
    </row>
    <row r="100" spans="1:13" outlineLevel="3" x14ac:dyDescent="0.3">
      <c r="A100" s="122"/>
      <c r="B100" s="124"/>
      <c r="C100" s="4">
        <v>3</v>
      </c>
      <c r="D100" s="4">
        <v>1903</v>
      </c>
      <c r="E100" s="4" t="s">
        <v>43</v>
      </c>
      <c r="F100" s="4" t="s">
        <v>28</v>
      </c>
      <c r="G100" s="4" t="s">
        <v>47</v>
      </c>
      <c r="H100" s="34">
        <v>0.16700000000000001</v>
      </c>
      <c r="I100" s="4">
        <f t="shared" si="63"/>
        <v>0</v>
      </c>
      <c r="J100" s="6">
        <f t="shared" si="64"/>
        <v>0</v>
      </c>
      <c r="K100" s="15">
        <f t="shared" si="65"/>
        <v>0</v>
      </c>
      <c r="L100">
        <f t="shared" si="66"/>
        <v>0</v>
      </c>
      <c r="M100" t="e">
        <f t="shared" si="67"/>
        <v>#DIV/0!</v>
      </c>
    </row>
    <row r="101" spans="1:13" outlineLevel="3" x14ac:dyDescent="0.3">
      <c r="A101" s="121" t="s">
        <v>121</v>
      </c>
      <c r="B101" s="123" t="s">
        <v>49</v>
      </c>
      <c r="C101" s="4">
        <v>1</v>
      </c>
      <c r="D101" s="4">
        <v>114155</v>
      </c>
      <c r="E101" s="4" t="s">
        <v>20</v>
      </c>
      <c r="F101" s="4" t="s">
        <v>28</v>
      </c>
      <c r="G101" s="4" t="s">
        <v>25</v>
      </c>
      <c r="H101" s="5">
        <v>0.5</v>
      </c>
      <c r="I101" s="4">
        <f t="shared" si="61"/>
        <v>0</v>
      </c>
      <c r="J101" s="6">
        <f t="shared" si="48"/>
        <v>0</v>
      </c>
      <c r="K101" s="15">
        <f t="shared" si="62"/>
        <v>0</v>
      </c>
      <c r="L101">
        <f t="shared" si="59"/>
        <v>0</v>
      </c>
      <c r="M101" t="e">
        <f t="shared" si="60"/>
        <v>#DIV/0!</v>
      </c>
    </row>
    <row r="102" spans="1:13" outlineLevel="3" x14ac:dyDescent="0.3">
      <c r="A102" s="122"/>
      <c r="B102" s="124"/>
      <c r="C102" s="4">
        <v>1</v>
      </c>
      <c r="D102" s="4">
        <v>114155</v>
      </c>
      <c r="E102" s="4" t="s">
        <v>29</v>
      </c>
      <c r="F102" s="4" t="s">
        <v>27</v>
      </c>
      <c r="G102" s="4" t="s">
        <v>47</v>
      </c>
      <c r="H102" s="5">
        <v>0.5</v>
      </c>
      <c r="I102" s="4">
        <f t="shared" si="61"/>
        <v>228310</v>
      </c>
      <c r="J102" s="6">
        <f t="shared" si="48"/>
        <v>4.3800096360211989E-6</v>
      </c>
      <c r="K102" s="15">
        <f t="shared" si="62"/>
        <v>4.3800096360211989E-6</v>
      </c>
      <c r="L102">
        <f t="shared" si="59"/>
        <v>1.0000022000048399</v>
      </c>
      <c r="M102">
        <f t="shared" si="60"/>
        <v>228310.00000000006</v>
      </c>
    </row>
    <row r="103" spans="1:13" outlineLevel="3" x14ac:dyDescent="0.3">
      <c r="A103" s="121" t="s">
        <v>190</v>
      </c>
      <c r="B103" s="123" t="s">
        <v>191</v>
      </c>
      <c r="C103" s="4">
        <v>1</v>
      </c>
      <c r="D103" s="4">
        <v>16308</v>
      </c>
      <c r="E103" s="4" t="s">
        <v>20</v>
      </c>
      <c r="F103" s="4" t="s">
        <v>28</v>
      </c>
      <c r="G103" s="4" t="s">
        <v>25</v>
      </c>
      <c r="H103" s="5">
        <v>0.5</v>
      </c>
      <c r="I103" s="4">
        <f t="shared" ref="I103:I104" si="68">IF(F103="yes",D103/H103,0)</f>
        <v>0</v>
      </c>
      <c r="J103" s="6">
        <f t="shared" ref="J103:J104" si="69">IF(I103= 0,0,1/I103)</f>
        <v>0</v>
      </c>
      <c r="K103" s="15">
        <f t="shared" ref="K103:K104" si="70">J103*C103</f>
        <v>0</v>
      </c>
      <c r="L103">
        <f t="shared" ref="L103:L104" si="71">IF(F103="yes",1/(D103*365*24*0.000000001),0)</f>
        <v>0</v>
      </c>
      <c r="M103" t="e">
        <f t="shared" ref="M103:M104" si="72">1000000000/(C103*L103*H103*365*24)</f>
        <v>#DIV/0!</v>
      </c>
    </row>
    <row r="104" spans="1:13" outlineLevel="3" x14ac:dyDescent="0.3">
      <c r="A104" s="122"/>
      <c r="B104" s="124"/>
      <c r="C104" s="4">
        <v>1</v>
      </c>
      <c r="D104" s="4">
        <v>16308</v>
      </c>
      <c r="E104" s="4" t="s">
        <v>29</v>
      </c>
      <c r="F104" s="4" t="s">
        <v>27</v>
      </c>
      <c r="G104" s="4" t="s">
        <v>47</v>
      </c>
      <c r="H104" s="5">
        <v>0.5</v>
      </c>
      <c r="I104" s="4">
        <f t="shared" si="68"/>
        <v>32616</v>
      </c>
      <c r="J104" s="6">
        <f t="shared" si="69"/>
        <v>3.0659798871719399E-5</v>
      </c>
      <c r="K104" s="15">
        <f t="shared" si="70"/>
        <v>3.0659798871719399E-5</v>
      </c>
      <c r="L104">
        <f t="shared" si="71"/>
        <v>6.999954080301233</v>
      </c>
      <c r="M104">
        <f t="shared" si="72"/>
        <v>32616</v>
      </c>
    </row>
    <row r="105" spans="1:13" outlineLevel="3" x14ac:dyDescent="0.3">
      <c r="A105" s="121" t="s">
        <v>196</v>
      </c>
      <c r="B105" s="123" t="s">
        <v>191</v>
      </c>
      <c r="C105" s="4">
        <v>1</v>
      </c>
      <c r="D105" s="4">
        <v>16308</v>
      </c>
      <c r="E105" s="4" t="s">
        <v>20</v>
      </c>
      <c r="F105" s="4" t="s">
        <v>28</v>
      </c>
      <c r="G105" s="4" t="s">
        <v>25</v>
      </c>
      <c r="H105" s="5">
        <v>0.5</v>
      </c>
      <c r="I105" s="4">
        <f t="shared" ref="I105:I106" si="73">IF(F105="yes",D105/H105,0)</f>
        <v>0</v>
      </c>
      <c r="J105" s="6">
        <f t="shared" ref="J105:J106" si="74">IF(I105= 0,0,1/I105)</f>
        <v>0</v>
      </c>
      <c r="K105" s="15">
        <f t="shared" ref="K105:K106" si="75">J105*C105</f>
        <v>0</v>
      </c>
      <c r="L105">
        <f t="shared" ref="L105:L106" si="76">IF(F105="yes",1/(D105*365*24*0.000000001),0)</f>
        <v>0</v>
      </c>
      <c r="M105" t="e">
        <f t="shared" ref="M105:M106" si="77">1000000000/(C105*L105*H105*365*24)</f>
        <v>#DIV/0!</v>
      </c>
    </row>
    <row r="106" spans="1:13" outlineLevel="3" x14ac:dyDescent="0.3">
      <c r="A106" s="122"/>
      <c r="B106" s="124"/>
      <c r="C106" s="4">
        <v>1</v>
      </c>
      <c r="D106" s="4">
        <v>16308</v>
      </c>
      <c r="E106" s="4" t="s">
        <v>29</v>
      </c>
      <c r="F106" s="4" t="s">
        <v>27</v>
      </c>
      <c r="G106" s="4" t="s">
        <v>47</v>
      </c>
      <c r="H106" s="5">
        <v>0.5</v>
      </c>
      <c r="I106" s="4">
        <f t="shared" si="73"/>
        <v>32616</v>
      </c>
      <c r="J106" s="6">
        <f t="shared" si="74"/>
        <v>3.0659798871719399E-5</v>
      </c>
      <c r="K106" s="15">
        <f t="shared" si="75"/>
        <v>3.0659798871719399E-5</v>
      </c>
      <c r="L106">
        <f t="shared" si="76"/>
        <v>6.999954080301233</v>
      </c>
      <c r="M106">
        <f t="shared" si="77"/>
        <v>32616</v>
      </c>
    </row>
    <row r="107" spans="1:13" outlineLevel="3" x14ac:dyDescent="0.3">
      <c r="A107" s="121" t="s">
        <v>192</v>
      </c>
      <c r="B107" s="123" t="s">
        <v>7</v>
      </c>
      <c r="C107" s="4">
        <v>3</v>
      </c>
      <c r="D107" s="4">
        <v>114155</v>
      </c>
      <c r="E107" s="4" t="s">
        <v>20</v>
      </c>
      <c r="F107" s="4" t="s">
        <v>28</v>
      </c>
      <c r="G107" s="4" t="s">
        <v>25</v>
      </c>
      <c r="H107" s="5">
        <v>0.5</v>
      </c>
      <c r="I107" s="4">
        <f t="shared" si="61"/>
        <v>0</v>
      </c>
      <c r="J107" s="6">
        <f t="shared" si="48"/>
        <v>0</v>
      </c>
      <c r="K107" s="15">
        <f t="shared" si="62"/>
        <v>0</v>
      </c>
      <c r="L107">
        <f t="shared" si="59"/>
        <v>0</v>
      </c>
      <c r="M107" t="e">
        <f t="shared" si="60"/>
        <v>#DIV/0!</v>
      </c>
    </row>
    <row r="108" spans="1:13" outlineLevel="3" x14ac:dyDescent="0.3">
      <c r="A108" s="122"/>
      <c r="B108" s="124"/>
      <c r="C108" s="4">
        <v>3</v>
      </c>
      <c r="D108" s="4">
        <v>114155</v>
      </c>
      <c r="E108" s="4" t="s">
        <v>24</v>
      </c>
      <c r="F108" s="4" t="s">
        <v>28</v>
      </c>
      <c r="G108" s="4" t="s">
        <v>25</v>
      </c>
      <c r="H108" s="5">
        <v>0.5</v>
      </c>
      <c r="I108" s="4">
        <f t="shared" si="61"/>
        <v>0</v>
      </c>
      <c r="J108" s="6">
        <f t="shared" si="48"/>
        <v>0</v>
      </c>
      <c r="K108" s="15">
        <f t="shared" si="62"/>
        <v>0</v>
      </c>
      <c r="L108">
        <f t="shared" si="59"/>
        <v>0</v>
      </c>
      <c r="M108" t="e">
        <f t="shared" si="60"/>
        <v>#DIV/0!</v>
      </c>
    </row>
    <row r="109" spans="1:13" outlineLevel="3" x14ac:dyDescent="0.3">
      <c r="A109" s="121" t="s">
        <v>193</v>
      </c>
      <c r="B109" s="123" t="s">
        <v>7</v>
      </c>
      <c r="C109" s="4">
        <v>5</v>
      </c>
      <c r="D109" s="4">
        <v>114155</v>
      </c>
      <c r="E109" s="4" t="s">
        <v>20</v>
      </c>
      <c r="F109" s="4" t="s">
        <v>27</v>
      </c>
      <c r="G109" s="4" t="s">
        <v>47</v>
      </c>
      <c r="H109" s="5">
        <v>0.7</v>
      </c>
      <c r="I109" s="4">
        <f t="shared" si="61"/>
        <v>163078.57142857145</v>
      </c>
      <c r="J109" s="6">
        <f t="shared" si="48"/>
        <v>6.1320134904296781E-6</v>
      </c>
      <c r="K109" s="15">
        <f t="shared" si="62"/>
        <v>3.0660067452148394E-5</v>
      </c>
      <c r="L109">
        <f t="shared" si="59"/>
        <v>1.0000022000048399</v>
      </c>
      <c r="M109">
        <f t="shared" si="60"/>
        <v>32615.714285714294</v>
      </c>
    </row>
    <row r="110" spans="1:13" outlineLevel="3" x14ac:dyDescent="0.3">
      <c r="A110" s="122"/>
      <c r="B110" s="124"/>
      <c r="C110" s="4">
        <v>5</v>
      </c>
      <c r="D110" s="4">
        <v>114155</v>
      </c>
      <c r="E110" s="4" t="s">
        <v>24</v>
      </c>
      <c r="F110" s="4" t="s">
        <v>28</v>
      </c>
      <c r="G110" s="4" t="s">
        <v>25</v>
      </c>
      <c r="H110" s="5">
        <v>0.3</v>
      </c>
      <c r="I110" s="4">
        <f t="shared" si="61"/>
        <v>0</v>
      </c>
      <c r="J110" s="6">
        <f t="shared" si="48"/>
        <v>0</v>
      </c>
      <c r="K110" s="15">
        <f t="shared" si="62"/>
        <v>0</v>
      </c>
      <c r="L110">
        <f t="shared" si="59"/>
        <v>0</v>
      </c>
      <c r="M110" t="e">
        <f t="shared" si="60"/>
        <v>#DIV/0!</v>
      </c>
    </row>
    <row r="111" spans="1:13" outlineLevel="3" x14ac:dyDescent="0.3">
      <c r="A111" s="24"/>
      <c r="B111" s="25"/>
      <c r="C111" s="4">
        <v>1</v>
      </c>
      <c r="D111" s="4">
        <v>114155</v>
      </c>
      <c r="E111" s="4" t="s">
        <v>24</v>
      </c>
      <c r="F111" s="4" t="s">
        <v>28</v>
      </c>
      <c r="G111" s="4" t="s">
        <v>25</v>
      </c>
      <c r="H111" s="5">
        <v>0.3</v>
      </c>
      <c r="I111" s="4">
        <f t="shared" ref="I111" si="78">IF(F111="yes",D111/H111,0)</f>
        <v>0</v>
      </c>
      <c r="J111" s="6">
        <f t="shared" ref="J111" si="79">IF(I111= 0,0,1/I111)</f>
        <v>0</v>
      </c>
      <c r="K111" s="15">
        <f t="shared" ref="K111" si="80">J111*C111</f>
        <v>0</v>
      </c>
      <c r="L111">
        <f t="shared" ref="L111" si="81">IF(F111="yes",1/(D111*365*24*0.000000001),0)</f>
        <v>0</v>
      </c>
      <c r="M111" t="e">
        <f t="shared" ref="M111" si="82">1000000000/(C111*L111*H111*365*24)</f>
        <v>#DIV/0!</v>
      </c>
    </row>
    <row r="112" spans="1:13" ht="28" outlineLevel="3" x14ac:dyDescent="0.3">
      <c r="A112" s="121" t="s">
        <v>194</v>
      </c>
      <c r="B112" s="123" t="s">
        <v>9</v>
      </c>
      <c r="C112" s="4">
        <v>2</v>
      </c>
      <c r="D112" s="4">
        <v>114155</v>
      </c>
      <c r="E112" s="4" t="s">
        <v>20</v>
      </c>
      <c r="F112" s="4" t="s">
        <v>28</v>
      </c>
      <c r="G112" s="26" t="s">
        <v>58</v>
      </c>
      <c r="H112" s="5">
        <v>0.5</v>
      </c>
      <c r="I112" s="8">
        <f t="shared" si="61"/>
        <v>0</v>
      </c>
      <c r="J112" s="9">
        <f t="shared" si="48"/>
        <v>0</v>
      </c>
      <c r="K112" s="17">
        <f t="shared" si="62"/>
        <v>0</v>
      </c>
      <c r="L112">
        <f t="shared" si="59"/>
        <v>0</v>
      </c>
      <c r="M112" t="e">
        <f t="shared" si="60"/>
        <v>#DIV/0!</v>
      </c>
    </row>
    <row r="113" spans="1:14" outlineLevel="3" x14ac:dyDescent="0.3">
      <c r="A113" s="122"/>
      <c r="B113" s="124"/>
      <c r="C113" s="4">
        <v>2</v>
      </c>
      <c r="D113" s="4">
        <v>114155</v>
      </c>
      <c r="E113" s="4" t="s">
        <v>29</v>
      </c>
      <c r="F113" s="4" t="s">
        <v>28</v>
      </c>
      <c r="G113" s="4" t="s">
        <v>25</v>
      </c>
      <c r="H113" s="5">
        <v>0.5</v>
      </c>
      <c r="I113" s="8">
        <f t="shared" si="61"/>
        <v>0</v>
      </c>
      <c r="J113" s="9">
        <f t="shared" si="48"/>
        <v>0</v>
      </c>
      <c r="K113" s="17">
        <f>J113*C113</f>
        <v>0</v>
      </c>
      <c r="L113">
        <f t="shared" si="59"/>
        <v>0</v>
      </c>
      <c r="M113" t="e">
        <f t="shared" si="60"/>
        <v>#DIV/0!</v>
      </c>
    </row>
    <row r="114" spans="1:14" outlineLevel="3" x14ac:dyDescent="0.3">
      <c r="A114" s="121" t="s">
        <v>195</v>
      </c>
      <c r="B114" s="123" t="s">
        <v>8</v>
      </c>
      <c r="C114" s="4">
        <v>4</v>
      </c>
      <c r="D114" s="28">
        <v>22831</v>
      </c>
      <c r="E114" s="4" t="s">
        <v>20</v>
      </c>
      <c r="F114" s="4" t="s">
        <v>28</v>
      </c>
      <c r="G114" s="4" t="s">
        <v>25</v>
      </c>
      <c r="H114" s="5">
        <v>0.5</v>
      </c>
      <c r="I114" s="4">
        <f t="shared" si="61"/>
        <v>0</v>
      </c>
      <c r="J114" s="6">
        <f t="shared" ref="J114:J115" si="83">IF(I114= 0,0,1/I114)</f>
        <v>0</v>
      </c>
      <c r="K114" s="15">
        <f>J114*C114</f>
        <v>0</v>
      </c>
      <c r="L114">
        <f t="shared" si="59"/>
        <v>0</v>
      </c>
      <c r="M114" t="e">
        <f t="shared" si="60"/>
        <v>#DIV/0!</v>
      </c>
    </row>
    <row r="115" spans="1:14" outlineLevel="3" x14ac:dyDescent="0.3">
      <c r="A115" s="122"/>
      <c r="B115" s="124"/>
      <c r="C115" s="4">
        <v>4</v>
      </c>
      <c r="D115" s="28">
        <v>22831</v>
      </c>
      <c r="E115" s="4" t="s">
        <v>29</v>
      </c>
      <c r="F115" s="4" t="s">
        <v>28</v>
      </c>
      <c r="G115" s="4" t="s">
        <v>25</v>
      </c>
      <c r="H115" s="5">
        <v>0.5</v>
      </c>
      <c r="I115" s="4">
        <f t="shared" si="61"/>
        <v>0</v>
      </c>
      <c r="J115" s="6">
        <f t="shared" si="83"/>
        <v>0</v>
      </c>
      <c r="K115" s="15">
        <f>J115*C115</f>
        <v>0</v>
      </c>
      <c r="L115">
        <f t="shared" si="59"/>
        <v>0</v>
      </c>
      <c r="M115" t="e">
        <f t="shared" si="60"/>
        <v>#DIV/0!</v>
      </c>
    </row>
    <row r="116" spans="1:14" ht="14.5" outlineLevel="3" thickBot="1" x14ac:dyDescent="0.35">
      <c r="A116" s="18"/>
      <c r="B116" s="19"/>
      <c r="C116" s="19"/>
      <c r="D116" s="19"/>
      <c r="E116" s="19"/>
      <c r="F116" s="19"/>
      <c r="G116" s="19"/>
      <c r="H116" s="20"/>
      <c r="I116" s="20"/>
      <c r="J116" s="20"/>
      <c r="K116" s="21">
        <f>1/SUM(K57:K115)</f>
        <v>847.35633249607463</v>
      </c>
      <c r="L116">
        <f>1/K116</f>
        <v>1.1801410594929761E-3</v>
      </c>
      <c r="M116">
        <v>0.9</v>
      </c>
      <c r="N116">
        <f>L116*M116</f>
        <v>1.0621269535436785E-3</v>
      </c>
    </row>
    <row r="117" spans="1:14" ht="17.5" x14ac:dyDescent="0.35">
      <c r="A117" s="133" t="s">
        <v>17</v>
      </c>
      <c r="B117" s="134"/>
      <c r="C117" s="134"/>
      <c r="D117" s="134"/>
      <c r="E117" s="134"/>
      <c r="F117" s="134"/>
      <c r="G117" s="134"/>
      <c r="H117" s="134"/>
      <c r="I117" s="134"/>
      <c r="J117" s="134"/>
      <c r="K117" s="135"/>
      <c r="L117">
        <f t="shared" si="59"/>
        <v>0</v>
      </c>
      <c r="M117" t="e">
        <f t="shared" si="60"/>
        <v>#DIV/0!</v>
      </c>
    </row>
    <row r="118" spans="1:14" outlineLevel="1" x14ac:dyDescent="0.3">
      <c r="A118" s="11" t="s">
        <v>13</v>
      </c>
      <c r="B118" s="1" t="s">
        <v>4</v>
      </c>
      <c r="C118" s="1" t="s">
        <v>5</v>
      </c>
      <c r="D118" s="1" t="s">
        <v>12</v>
      </c>
      <c r="E118" s="1" t="s">
        <v>19</v>
      </c>
      <c r="F118" s="1" t="s">
        <v>26</v>
      </c>
      <c r="G118" s="1" t="s">
        <v>21</v>
      </c>
      <c r="H118" s="1" t="s">
        <v>6</v>
      </c>
      <c r="I118" s="1" t="s">
        <v>14</v>
      </c>
      <c r="J118" s="1" t="s">
        <v>15</v>
      </c>
      <c r="K118" s="12" t="s">
        <v>16</v>
      </c>
      <c r="L118">
        <f t="shared" si="59"/>
        <v>0</v>
      </c>
      <c r="M118" t="e">
        <f t="shared" si="60"/>
        <v>#VALUE!</v>
      </c>
    </row>
    <row r="119" spans="1:14" ht="28" outlineLevel="1" x14ac:dyDescent="0.3">
      <c r="A119" s="119" t="s">
        <v>198</v>
      </c>
      <c r="B119" s="103" t="s">
        <v>7</v>
      </c>
      <c r="C119" s="1">
        <v>1</v>
      </c>
      <c r="D119" s="1">
        <v>114155</v>
      </c>
      <c r="E119" s="1" t="s">
        <v>20</v>
      </c>
      <c r="F119" s="1" t="s">
        <v>27</v>
      </c>
      <c r="G119" s="35" t="s">
        <v>61</v>
      </c>
      <c r="H119" s="3">
        <v>0.7</v>
      </c>
      <c r="I119" s="1">
        <f t="shared" ref="I119:I127" si="84">IF(F119="yes",D119/H119,0)</f>
        <v>163078.57142857145</v>
      </c>
      <c r="J119" s="10">
        <f t="shared" ref="J119:J180" si="85">IF(I119= 0,0,1/I119)</f>
        <v>6.1320134904296781E-6</v>
      </c>
      <c r="K119" s="10">
        <f t="shared" ref="K119:K127" si="86">J119*C119</f>
        <v>6.1320134904296781E-6</v>
      </c>
      <c r="L119">
        <f t="shared" si="59"/>
        <v>1.0000022000048399</v>
      </c>
      <c r="M119">
        <f t="shared" si="60"/>
        <v>163078.57142857148</v>
      </c>
    </row>
    <row r="120" spans="1:14" outlineLevel="1" x14ac:dyDescent="0.3">
      <c r="A120" s="120"/>
      <c r="B120" s="104"/>
      <c r="C120" s="1">
        <v>1</v>
      </c>
      <c r="D120" s="1">
        <v>114155</v>
      </c>
      <c r="E120" s="1" t="s">
        <v>24</v>
      </c>
      <c r="F120" s="1" t="s">
        <v>28</v>
      </c>
      <c r="G120" s="1" t="s">
        <v>25</v>
      </c>
      <c r="H120" s="3">
        <v>0.3</v>
      </c>
      <c r="I120" s="1">
        <f t="shared" si="84"/>
        <v>0</v>
      </c>
      <c r="J120" s="10">
        <f t="shared" si="85"/>
        <v>0</v>
      </c>
      <c r="K120" s="10">
        <f t="shared" si="86"/>
        <v>0</v>
      </c>
      <c r="L120">
        <f t="shared" si="59"/>
        <v>0</v>
      </c>
      <c r="M120" t="e">
        <f t="shared" si="60"/>
        <v>#DIV/0!</v>
      </c>
    </row>
    <row r="121" spans="1:14" outlineLevel="1" x14ac:dyDescent="0.3">
      <c r="A121" s="119" t="s">
        <v>199</v>
      </c>
      <c r="B121" s="103" t="s">
        <v>7</v>
      </c>
      <c r="C121" s="1">
        <v>1</v>
      </c>
      <c r="D121" s="1">
        <v>114155</v>
      </c>
      <c r="E121" s="1" t="s">
        <v>20</v>
      </c>
      <c r="F121" s="1" t="s">
        <v>28</v>
      </c>
      <c r="G121" s="1" t="s">
        <v>25</v>
      </c>
      <c r="H121" s="3">
        <v>0.7</v>
      </c>
      <c r="I121" s="1">
        <f t="shared" si="84"/>
        <v>0</v>
      </c>
      <c r="J121" s="10">
        <f t="shared" si="85"/>
        <v>0</v>
      </c>
      <c r="K121" s="10">
        <f t="shared" si="86"/>
        <v>0</v>
      </c>
      <c r="L121">
        <f t="shared" si="59"/>
        <v>0</v>
      </c>
      <c r="M121" t="e">
        <f t="shared" si="60"/>
        <v>#DIV/0!</v>
      </c>
    </row>
    <row r="122" spans="1:14" outlineLevel="1" x14ac:dyDescent="0.3">
      <c r="A122" s="120"/>
      <c r="B122" s="104"/>
      <c r="C122" s="1">
        <v>1</v>
      </c>
      <c r="D122" s="1">
        <v>114155</v>
      </c>
      <c r="E122" s="1" t="s">
        <v>24</v>
      </c>
      <c r="F122" s="1" t="s">
        <v>28</v>
      </c>
      <c r="G122" s="1" t="s">
        <v>25</v>
      </c>
      <c r="H122" s="3">
        <v>0.3</v>
      </c>
      <c r="I122" s="1">
        <f t="shared" si="84"/>
        <v>0</v>
      </c>
      <c r="J122" s="10">
        <f t="shared" si="85"/>
        <v>0</v>
      </c>
      <c r="K122" s="10">
        <f t="shared" si="86"/>
        <v>0</v>
      </c>
      <c r="L122">
        <f t="shared" si="59"/>
        <v>0</v>
      </c>
      <c r="M122" t="e">
        <f t="shared" si="60"/>
        <v>#DIV/0!</v>
      </c>
    </row>
    <row r="123" spans="1:14" outlineLevel="1" x14ac:dyDescent="0.3">
      <c r="A123" s="119" t="s">
        <v>201</v>
      </c>
      <c r="B123" s="103" t="s">
        <v>8</v>
      </c>
      <c r="C123" s="1">
        <v>1</v>
      </c>
      <c r="D123" s="1">
        <v>22831</v>
      </c>
      <c r="E123" s="1" t="s">
        <v>20</v>
      </c>
      <c r="F123" s="1" t="s">
        <v>28</v>
      </c>
      <c r="G123" s="1" t="s">
        <v>25</v>
      </c>
      <c r="H123" s="3">
        <v>0.5</v>
      </c>
      <c r="I123" s="1">
        <f t="shared" si="84"/>
        <v>0</v>
      </c>
      <c r="J123" s="10">
        <f t="shared" si="85"/>
        <v>0</v>
      </c>
      <c r="K123" s="10">
        <f t="shared" si="86"/>
        <v>0</v>
      </c>
      <c r="L123">
        <f t="shared" si="59"/>
        <v>0</v>
      </c>
      <c r="M123" t="e">
        <f t="shared" si="60"/>
        <v>#DIV/0!</v>
      </c>
    </row>
    <row r="124" spans="1:14" ht="28" outlineLevel="1" x14ac:dyDescent="0.3">
      <c r="A124" s="120"/>
      <c r="B124" s="104"/>
      <c r="C124" s="1">
        <v>1</v>
      </c>
      <c r="D124" s="1">
        <v>22831</v>
      </c>
      <c r="E124" s="1" t="s">
        <v>29</v>
      </c>
      <c r="F124" s="1" t="s">
        <v>27</v>
      </c>
      <c r="G124" s="35" t="s">
        <v>61</v>
      </c>
      <c r="H124" s="3">
        <v>0.5</v>
      </c>
      <c r="I124" s="1">
        <f t="shared" si="84"/>
        <v>45662</v>
      </c>
      <c r="J124" s="10">
        <f t="shared" si="85"/>
        <v>2.1900048180105996E-5</v>
      </c>
      <c r="K124" s="10">
        <f t="shared" si="86"/>
        <v>2.1900048180105996E-5</v>
      </c>
      <c r="L124">
        <f t="shared" si="59"/>
        <v>5.0000110000242</v>
      </c>
      <c r="M124">
        <f t="shared" si="60"/>
        <v>45662.000000000007</v>
      </c>
    </row>
    <row r="125" spans="1:14" ht="28" outlineLevel="1" x14ac:dyDescent="0.3">
      <c r="A125" s="119" t="s">
        <v>197</v>
      </c>
      <c r="B125" s="103" t="s">
        <v>7</v>
      </c>
      <c r="C125" s="1">
        <v>1</v>
      </c>
      <c r="D125" s="1">
        <v>114155</v>
      </c>
      <c r="E125" s="1" t="s">
        <v>20</v>
      </c>
      <c r="F125" s="1" t="s">
        <v>27</v>
      </c>
      <c r="G125" s="35" t="s">
        <v>61</v>
      </c>
      <c r="H125" s="3">
        <v>0.7</v>
      </c>
      <c r="I125" s="1">
        <f t="shared" si="84"/>
        <v>163078.57142857145</v>
      </c>
      <c r="J125" s="10">
        <f t="shared" si="85"/>
        <v>6.1320134904296781E-6</v>
      </c>
      <c r="K125" s="10">
        <f t="shared" si="86"/>
        <v>6.1320134904296781E-6</v>
      </c>
      <c r="L125">
        <f t="shared" si="59"/>
        <v>1.0000022000048399</v>
      </c>
      <c r="M125">
        <f t="shared" si="60"/>
        <v>163078.57142857148</v>
      </c>
    </row>
    <row r="126" spans="1:14" outlineLevel="1" x14ac:dyDescent="0.3">
      <c r="A126" s="120"/>
      <c r="B126" s="104"/>
      <c r="C126" s="1">
        <v>1</v>
      </c>
      <c r="D126" s="1">
        <v>114155</v>
      </c>
      <c r="E126" s="1" t="s">
        <v>62</v>
      </c>
      <c r="F126" s="1" t="s">
        <v>28</v>
      </c>
      <c r="G126" s="1" t="s">
        <v>25</v>
      </c>
      <c r="H126" s="3">
        <v>0.3</v>
      </c>
      <c r="I126" s="1">
        <f t="shared" si="84"/>
        <v>0</v>
      </c>
      <c r="J126" s="10">
        <f t="shared" si="85"/>
        <v>0</v>
      </c>
      <c r="K126" s="10">
        <f t="shared" si="86"/>
        <v>0</v>
      </c>
      <c r="L126">
        <f t="shared" si="59"/>
        <v>0</v>
      </c>
      <c r="M126" t="e">
        <f t="shared" si="60"/>
        <v>#DIV/0!</v>
      </c>
    </row>
    <row r="127" spans="1:14" ht="28" outlineLevel="1" x14ac:dyDescent="0.3">
      <c r="A127" s="119" t="s">
        <v>202</v>
      </c>
      <c r="B127" s="103" t="s">
        <v>7</v>
      </c>
      <c r="C127" s="1">
        <v>1</v>
      </c>
      <c r="D127" s="1">
        <v>114155</v>
      </c>
      <c r="E127" s="1" t="s">
        <v>20</v>
      </c>
      <c r="F127" s="1" t="s">
        <v>27</v>
      </c>
      <c r="G127" s="35" t="s">
        <v>61</v>
      </c>
      <c r="H127" s="3">
        <v>0.7</v>
      </c>
      <c r="I127" s="1">
        <f t="shared" si="84"/>
        <v>163078.57142857145</v>
      </c>
      <c r="J127" s="10">
        <f t="shared" si="85"/>
        <v>6.1320134904296781E-6</v>
      </c>
      <c r="K127" s="10">
        <f t="shared" si="86"/>
        <v>6.1320134904296781E-6</v>
      </c>
      <c r="L127">
        <f t="shared" si="59"/>
        <v>1.0000022000048399</v>
      </c>
      <c r="M127">
        <f t="shared" si="60"/>
        <v>163078.57142857148</v>
      </c>
    </row>
    <row r="128" spans="1:14" outlineLevel="1" x14ac:dyDescent="0.3">
      <c r="A128" s="120"/>
      <c r="B128" s="104"/>
      <c r="C128" s="1">
        <v>1</v>
      </c>
      <c r="D128" s="1">
        <v>114155</v>
      </c>
      <c r="E128" s="1" t="s">
        <v>62</v>
      </c>
      <c r="F128" s="1" t="s">
        <v>28</v>
      </c>
      <c r="G128" s="1" t="s">
        <v>25</v>
      </c>
      <c r="H128" s="3">
        <v>0.3</v>
      </c>
      <c r="I128" s="1">
        <f t="shared" ref="I128:I135" si="87">IF(F128="yes",D128/H128,0)</f>
        <v>0</v>
      </c>
      <c r="J128" s="10">
        <f t="shared" si="85"/>
        <v>0</v>
      </c>
      <c r="K128" s="10">
        <f t="shared" ref="K128:K135" si="88">J128*C128</f>
        <v>0</v>
      </c>
      <c r="L128">
        <f t="shared" si="59"/>
        <v>0</v>
      </c>
      <c r="M128" t="e">
        <f t="shared" si="60"/>
        <v>#DIV/0!</v>
      </c>
    </row>
    <row r="129" spans="1:13" ht="42" outlineLevel="1" x14ac:dyDescent="0.3">
      <c r="A129" s="119" t="s">
        <v>203</v>
      </c>
      <c r="B129" s="103" t="s">
        <v>7</v>
      </c>
      <c r="C129" s="1">
        <v>1</v>
      </c>
      <c r="D129" s="1">
        <v>114155</v>
      </c>
      <c r="E129" s="1" t="s">
        <v>20</v>
      </c>
      <c r="F129" s="1" t="s">
        <v>200</v>
      </c>
      <c r="G129" s="35" t="s">
        <v>60</v>
      </c>
      <c r="H129" s="3">
        <v>0.7</v>
      </c>
      <c r="I129" s="1">
        <f t="shared" si="87"/>
        <v>163078.57142857145</v>
      </c>
      <c r="J129" s="10">
        <f t="shared" si="85"/>
        <v>6.1320134904296781E-6</v>
      </c>
      <c r="K129" s="10">
        <f t="shared" si="88"/>
        <v>6.1320134904296781E-6</v>
      </c>
    </row>
    <row r="130" spans="1:13" outlineLevel="1" x14ac:dyDescent="0.3">
      <c r="A130" s="120"/>
      <c r="B130" s="104"/>
      <c r="C130" s="1">
        <v>1</v>
      </c>
      <c r="D130" s="1">
        <v>114155</v>
      </c>
      <c r="E130" s="1" t="s">
        <v>62</v>
      </c>
      <c r="F130" s="1" t="s">
        <v>28</v>
      </c>
      <c r="G130" s="35" t="s">
        <v>25</v>
      </c>
      <c r="H130" s="3">
        <v>0.3</v>
      </c>
      <c r="I130" s="1">
        <f t="shared" si="87"/>
        <v>0</v>
      </c>
      <c r="J130" s="10">
        <f t="shared" si="85"/>
        <v>0</v>
      </c>
      <c r="K130" s="10">
        <f t="shared" si="88"/>
        <v>0</v>
      </c>
    </row>
    <row r="131" spans="1:13" ht="28" outlineLevel="1" x14ac:dyDescent="0.3">
      <c r="A131" s="101" t="s">
        <v>120</v>
      </c>
      <c r="B131" s="103" t="s">
        <v>37</v>
      </c>
      <c r="C131" s="1">
        <v>1</v>
      </c>
      <c r="D131" s="1">
        <v>1903</v>
      </c>
      <c r="E131" s="1" t="s">
        <v>38</v>
      </c>
      <c r="F131" s="1" t="s">
        <v>27</v>
      </c>
      <c r="G131" s="35" t="s">
        <v>61</v>
      </c>
      <c r="H131" s="36">
        <v>0.16700000000000001</v>
      </c>
      <c r="I131" s="1">
        <f t="shared" si="87"/>
        <v>11395.209580838322</v>
      </c>
      <c r="J131" s="10">
        <f t="shared" si="85"/>
        <v>8.7756174461376787E-5</v>
      </c>
      <c r="K131" s="10">
        <f t="shared" si="88"/>
        <v>8.7756174461376787E-5</v>
      </c>
      <c r="L131">
        <f t="shared" si="59"/>
        <v>59.986994819523119</v>
      </c>
      <c r="M131">
        <f t="shared" si="60"/>
        <v>11395.209580838324</v>
      </c>
    </row>
    <row r="132" spans="1:13" ht="28" outlineLevel="1" x14ac:dyDescent="0.3">
      <c r="A132" s="115"/>
      <c r="B132" s="114"/>
      <c r="C132" s="1">
        <v>1</v>
      </c>
      <c r="D132" s="1">
        <v>1903</v>
      </c>
      <c r="E132" s="1" t="s">
        <v>39</v>
      </c>
      <c r="F132" s="1" t="s">
        <v>27</v>
      </c>
      <c r="G132" s="35" t="s">
        <v>61</v>
      </c>
      <c r="H132" s="36">
        <v>0.16700000000000001</v>
      </c>
      <c r="I132" s="1">
        <f t="shared" si="87"/>
        <v>11395.209580838322</v>
      </c>
      <c r="J132" s="10">
        <f t="shared" si="85"/>
        <v>8.7756174461376787E-5</v>
      </c>
      <c r="K132" s="10">
        <f t="shared" si="88"/>
        <v>8.7756174461376787E-5</v>
      </c>
      <c r="L132">
        <f t="shared" si="59"/>
        <v>59.986994819523119</v>
      </c>
      <c r="M132">
        <f t="shared" si="60"/>
        <v>11395.209580838324</v>
      </c>
    </row>
    <row r="133" spans="1:13" ht="28" outlineLevel="1" x14ac:dyDescent="0.3">
      <c r="A133" s="115"/>
      <c r="B133" s="114"/>
      <c r="C133" s="1">
        <v>1</v>
      </c>
      <c r="D133" s="1">
        <v>1903</v>
      </c>
      <c r="E133" s="1" t="s">
        <v>40</v>
      </c>
      <c r="F133" s="1" t="s">
        <v>27</v>
      </c>
      <c r="G133" s="35" t="s">
        <v>61</v>
      </c>
      <c r="H133" s="36">
        <v>0.16700000000000001</v>
      </c>
      <c r="I133" s="1">
        <f t="shared" si="87"/>
        <v>11395.209580838322</v>
      </c>
      <c r="J133" s="10">
        <f t="shared" si="85"/>
        <v>8.7756174461376787E-5</v>
      </c>
      <c r="K133" s="10">
        <f t="shared" si="88"/>
        <v>8.7756174461376787E-5</v>
      </c>
      <c r="L133">
        <f t="shared" si="59"/>
        <v>59.986994819523119</v>
      </c>
      <c r="M133">
        <f t="shared" si="60"/>
        <v>11395.209580838324</v>
      </c>
    </row>
    <row r="134" spans="1:13" ht="28" outlineLevel="1" x14ac:dyDescent="0.3">
      <c r="A134" s="115"/>
      <c r="B134" s="114"/>
      <c r="C134" s="1">
        <v>1</v>
      </c>
      <c r="D134" s="1">
        <v>1903</v>
      </c>
      <c r="E134" s="1" t="s">
        <v>41</v>
      </c>
      <c r="F134" s="1" t="s">
        <v>28</v>
      </c>
      <c r="G134" s="35" t="s">
        <v>63</v>
      </c>
      <c r="H134" s="36">
        <v>0.16700000000000001</v>
      </c>
      <c r="I134" s="1">
        <f t="shared" si="87"/>
        <v>0</v>
      </c>
      <c r="J134" s="10">
        <f t="shared" si="85"/>
        <v>0</v>
      </c>
      <c r="K134" s="10">
        <f t="shared" si="88"/>
        <v>0</v>
      </c>
      <c r="L134">
        <f t="shared" si="59"/>
        <v>0</v>
      </c>
      <c r="M134" t="e">
        <f t="shared" si="60"/>
        <v>#DIV/0!</v>
      </c>
    </row>
    <row r="135" spans="1:13" ht="28" outlineLevel="1" x14ac:dyDescent="0.3">
      <c r="A135" s="115"/>
      <c r="B135" s="114"/>
      <c r="C135" s="1">
        <v>1</v>
      </c>
      <c r="D135" s="1">
        <v>1903</v>
      </c>
      <c r="E135" s="1" t="s">
        <v>42</v>
      </c>
      <c r="F135" s="1" t="s">
        <v>27</v>
      </c>
      <c r="G135" s="35" t="s">
        <v>61</v>
      </c>
      <c r="H135" s="36">
        <v>0.16700000000000001</v>
      </c>
      <c r="I135" s="1">
        <f t="shared" si="87"/>
        <v>11395.209580838322</v>
      </c>
      <c r="J135" s="10">
        <f t="shared" si="85"/>
        <v>8.7756174461376787E-5</v>
      </c>
      <c r="K135" s="10">
        <f t="shared" si="88"/>
        <v>8.7756174461376787E-5</v>
      </c>
      <c r="L135">
        <f t="shared" si="59"/>
        <v>59.986994819523119</v>
      </c>
      <c r="M135">
        <f t="shared" si="60"/>
        <v>11395.209580838324</v>
      </c>
    </row>
    <row r="136" spans="1:13" ht="28" outlineLevel="1" x14ac:dyDescent="0.3">
      <c r="A136" s="102"/>
      <c r="B136" s="104"/>
      <c r="C136" s="1">
        <v>1</v>
      </c>
      <c r="D136" s="1">
        <v>1903</v>
      </c>
      <c r="E136" s="1" t="s">
        <v>43</v>
      </c>
      <c r="F136" s="1" t="s">
        <v>27</v>
      </c>
      <c r="G136" s="35" t="s">
        <v>61</v>
      </c>
      <c r="H136" s="36">
        <v>0.16700000000000001</v>
      </c>
      <c r="I136" s="1">
        <f>IF(F136="yes",D136/H136,0)</f>
        <v>11395.209580838322</v>
      </c>
      <c r="J136" s="10">
        <f t="shared" si="85"/>
        <v>8.7756174461376787E-5</v>
      </c>
      <c r="K136" s="10">
        <f>J136*C136</f>
        <v>8.7756174461376787E-5</v>
      </c>
      <c r="L136">
        <f t="shared" si="59"/>
        <v>59.986994819523119</v>
      </c>
      <c r="M136">
        <f t="shared" si="60"/>
        <v>11395.209580838324</v>
      </c>
    </row>
    <row r="137" spans="1:13" outlineLevel="1" x14ac:dyDescent="0.3">
      <c r="A137" s="101" t="s">
        <v>204</v>
      </c>
      <c r="B137" s="103" t="s">
        <v>49</v>
      </c>
      <c r="C137" s="1">
        <v>1</v>
      </c>
      <c r="D137" s="1">
        <v>114155</v>
      </c>
      <c r="E137" s="1" t="s">
        <v>20</v>
      </c>
      <c r="F137" s="1" t="s">
        <v>28</v>
      </c>
      <c r="G137" s="1" t="s">
        <v>25</v>
      </c>
      <c r="H137" s="3">
        <v>0.5</v>
      </c>
      <c r="I137" s="1">
        <f t="shared" ref="I137:I144" si="89">IF(F137="yes",D137/H137,0)</f>
        <v>0</v>
      </c>
      <c r="J137" s="10">
        <f t="shared" si="85"/>
        <v>0</v>
      </c>
      <c r="K137" s="10">
        <f t="shared" ref="K137:K144" si="90">J137*C137</f>
        <v>0</v>
      </c>
      <c r="L137">
        <f t="shared" si="59"/>
        <v>0</v>
      </c>
      <c r="M137" t="e">
        <f t="shared" si="60"/>
        <v>#DIV/0!</v>
      </c>
    </row>
    <row r="138" spans="1:13" ht="28" outlineLevel="1" x14ac:dyDescent="0.3">
      <c r="A138" s="102"/>
      <c r="B138" s="104"/>
      <c r="C138" s="1">
        <v>1</v>
      </c>
      <c r="D138" s="1">
        <v>114155</v>
      </c>
      <c r="E138" s="1" t="s">
        <v>29</v>
      </c>
      <c r="F138" s="1" t="s">
        <v>27</v>
      </c>
      <c r="G138" s="35" t="s">
        <v>64</v>
      </c>
      <c r="H138" s="3">
        <v>0.5</v>
      </c>
      <c r="I138" s="1">
        <f t="shared" si="89"/>
        <v>228310</v>
      </c>
      <c r="J138" s="10">
        <f t="shared" si="85"/>
        <v>4.3800096360211989E-6</v>
      </c>
      <c r="K138" s="10">
        <f t="shared" si="90"/>
        <v>4.3800096360211989E-6</v>
      </c>
      <c r="L138">
        <f t="shared" si="59"/>
        <v>1.0000022000048399</v>
      </c>
      <c r="M138">
        <f t="shared" si="60"/>
        <v>228310.00000000006</v>
      </c>
    </row>
    <row r="139" spans="1:13" ht="28" outlineLevel="1" x14ac:dyDescent="0.3">
      <c r="A139" s="101" t="s">
        <v>205</v>
      </c>
      <c r="B139" s="103" t="s">
        <v>206</v>
      </c>
      <c r="C139" s="1">
        <v>1</v>
      </c>
      <c r="D139" s="1">
        <v>1522</v>
      </c>
      <c r="E139" s="69" t="s">
        <v>50</v>
      </c>
      <c r="F139" s="1" t="s">
        <v>27</v>
      </c>
      <c r="G139" s="35" t="s">
        <v>64</v>
      </c>
      <c r="H139" s="36">
        <v>0.16700000000000001</v>
      </c>
      <c r="I139" s="1">
        <f t="shared" si="89"/>
        <v>9113.7724550898201</v>
      </c>
      <c r="J139" s="10">
        <f t="shared" si="85"/>
        <v>1.0972404730617609E-4</v>
      </c>
      <c r="K139" s="10">
        <f t="shared" si="90"/>
        <v>1.0972404730617609E-4</v>
      </c>
      <c r="L139">
        <f t="shared" si="59"/>
        <v>75.003450158707295</v>
      </c>
      <c r="M139">
        <f t="shared" si="60"/>
        <v>9113.772455089822</v>
      </c>
    </row>
    <row r="140" spans="1:13" ht="28" outlineLevel="1" x14ac:dyDescent="0.3">
      <c r="A140" s="115"/>
      <c r="B140" s="114"/>
      <c r="C140" s="1">
        <v>1</v>
      </c>
      <c r="D140" s="1">
        <v>1522</v>
      </c>
      <c r="E140" s="69" t="s">
        <v>51</v>
      </c>
      <c r="F140" s="1" t="s">
        <v>27</v>
      </c>
      <c r="G140" s="35" t="s">
        <v>64</v>
      </c>
      <c r="H140" s="36">
        <v>0.16700000000000001</v>
      </c>
      <c r="I140" s="1">
        <f t="shared" si="89"/>
        <v>9113.7724550898201</v>
      </c>
      <c r="J140" s="10">
        <f t="shared" si="85"/>
        <v>1.0972404730617609E-4</v>
      </c>
      <c r="K140" s="10">
        <f t="shared" si="90"/>
        <v>1.0972404730617609E-4</v>
      </c>
      <c r="L140">
        <f t="shared" si="59"/>
        <v>75.003450158707295</v>
      </c>
      <c r="M140">
        <f t="shared" si="60"/>
        <v>9113.772455089822</v>
      </c>
    </row>
    <row r="141" spans="1:13" ht="28" outlineLevel="1" x14ac:dyDescent="0.3">
      <c r="A141" s="115"/>
      <c r="B141" s="114"/>
      <c r="C141" s="1">
        <v>1</v>
      </c>
      <c r="D141" s="1">
        <v>1522</v>
      </c>
      <c r="E141" s="69" t="s">
        <v>52</v>
      </c>
      <c r="F141" s="1" t="s">
        <v>27</v>
      </c>
      <c r="G141" s="35" t="s">
        <v>64</v>
      </c>
      <c r="H141" s="36">
        <v>0.16700000000000001</v>
      </c>
      <c r="I141" s="1">
        <f t="shared" si="89"/>
        <v>9113.7724550898201</v>
      </c>
      <c r="J141" s="10">
        <f t="shared" si="85"/>
        <v>1.0972404730617609E-4</v>
      </c>
      <c r="K141" s="10">
        <f t="shared" si="90"/>
        <v>1.0972404730617609E-4</v>
      </c>
      <c r="L141">
        <f t="shared" si="59"/>
        <v>75.003450158707295</v>
      </c>
      <c r="M141">
        <f t="shared" si="60"/>
        <v>9113.772455089822</v>
      </c>
    </row>
    <row r="142" spans="1:13" outlineLevel="1" x14ac:dyDescent="0.3">
      <c r="A142" s="115"/>
      <c r="B142" s="114"/>
      <c r="C142" s="1">
        <v>1</v>
      </c>
      <c r="D142" s="1">
        <v>1522</v>
      </c>
      <c r="E142" s="69" t="s">
        <v>53</v>
      </c>
      <c r="F142" s="1" t="s">
        <v>28</v>
      </c>
      <c r="G142" s="1" t="s">
        <v>66</v>
      </c>
      <c r="H142" s="36">
        <v>0.16700000000000001</v>
      </c>
      <c r="I142" s="1">
        <f t="shared" si="89"/>
        <v>0</v>
      </c>
      <c r="J142" s="10">
        <f t="shared" si="85"/>
        <v>0</v>
      </c>
      <c r="K142" s="10">
        <f t="shared" si="90"/>
        <v>0</v>
      </c>
      <c r="L142">
        <f t="shared" si="59"/>
        <v>0</v>
      </c>
      <c r="M142" t="e">
        <f t="shared" si="60"/>
        <v>#DIV/0!</v>
      </c>
    </row>
    <row r="143" spans="1:13" ht="28" outlineLevel="1" x14ac:dyDescent="0.3">
      <c r="A143" s="115"/>
      <c r="B143" s="114"/>
      <c r="C143" s="1">
        <v>1</v>
      </c>
      <c r="D143" s="1">
        <v>1522</v>
      </c>
      <c r="E143" s="69" t="s">
        <v>54</v>
      </c>
      <c r="F143" s="1" t="s">
        <v>27</v>
      </c>
      <c r="G143" s="35" t="s">
        <v>64</v>
      </c>
      <c r="H143" s="36">
        <v>0.16700000000000001</v>
      </c>
      <c r="I143" s="1">
        <f t="shared" si="89"/>
        <v>9113.7724550898201</v>
      </c>
      <c r="J143" s="10">
        <f t="shared" si="85"/>
        <v>1.0972404730617609E-4</v>
      </c>
      <c r="K143" s="10">
        <f t="shared" si="90"/>
        <v>1.0972404730617609E-4</v>
      </c>
      <c r="L143">
        <f t="shared" si="59"/>
        <v>75.003450158707295</v>
      </c>
      <c r="M143">
        <f t="shared" si="60"/>
        <v>9113.772455089822</v>
      </c>
    </row>
    <row r="144" spans="1:13" ht="28" outlineLevel="1" x14ac:dyDescent="0.3">
      <c r="A144" s="102"/>
      <c r="B144" s="104"/>
      <c r="C144" s="1">
        <v>1</v>
      </c>
      <c r="D144" s="1">
        <v>1522</v>
      </c>
      <c r="E144" s="69" t="s">
        <v>55</v>
      </c>
      <c r="F144" s="1" t="s">
        <v>27</v>
      </c>
      <c r="G144" s="35" t="s">
        <v>64</v>
      </c>
      <c r="H144" s="36">
        <v>0.16700000000000001</v>
      </c>
      <c r="I144" s="1">
        <f t="shared" si="89"/>
        <v>9113.7724550898201</v>
      </c>
      <c r="J144" s="10">
        <f t="shared" si="85"/>
        <v>1.0972404730617609E-4</v>
      </c>
      <c r="K144" s="10">
        <f t="shared" si="90"/>
        <v>1.0972404730617609E-4</v>
      </c>
      <c r="L144">
        <f t="shared" si="59"/>
        <v>75.003450158707295</v>
      </c>
      <c r="M144">
        <f t="shared" si="60"/>
        <v>9113.772455089822</v>
      </c>
    </row>
    <row r="145" spans="1:13" ht="28" outlineLevel="1" x14ac:dyDescent="0.3">
      <c r="A145" s="101" t="s">
        <v>207</v>
      </c>
      <c r="B145" s="103" t="s">
        <v>7</v>
      </c>
      <c r="C145" s="1">
        <v>3</v>
      </c>
      <c r="D145" s="1">
        <v>114155</v>
      </c>
      <c r="E145" s="1" t="s">
        <v>20</v>
      </c>
      <c r="F145" s="1" t="s">
        <v>27</v>
      </c>
      <c r="G145" s="35" t="s">
        <v>67</v>
      </c>
      <c r="H145" s="3">
        <v>0.7</v>
      </c>
      <c r="I145" s="1">
        <f t="shared" ref="I145:I175" si="91">IF(F145="yes",D145/H145,0)</f>
        <v>163078.57142857145</v>
      </c>
      <c r="J145" s="10">
        <f t="shared" si="85"/>
        <v>6.1320134904296781E-6</v>
      </c>
      <c r="K145" s="10">
        <f t="shared" ref="K145:K175" si="92">J145*C145</f>
        <v>1.8396040471289034E-5</v>
      </c>
      <c r="L145">
        <f t="shared" si="59"/>
        <v>1.0000022000048399</v>
      </c>
      <c r="M145">
        <f t="shared" si="60"/>
        <v>54359.523809523816</v>
      </c>
    </row>
    <row r="146" spans="1:13" ht="28" outlineLevel="1" x14ac:dyDescent="0.3">
      <c r="A146" s="102"/>
      <c r="B146" s="104"/>
      <c r="C146" s="1">
        <v>3</v>
      </c>
      <c r="D146" s="1">
        <v>114155</v>
      </c>
      <c r="E146" s="1" t="s">
        <v>62</v>
      </c>
      <c r="F146" s="1" t="s">
        <v>27</v>
      </c>
      <c r="G146" s="35" t="s">
        <v>68</v>
      </c>
      <c r="H146" s="3">
        <v>0.3</v>
      </c>
      <c r="I146" s="1">
        <f t="shared" si="91"/>
        <v>380516.66666666669</v>
      </c>
      <c r="J146" s="10">
        <f t="shared" si="85"/>
        <v>2.6280057816127193E-6</v>
      </c>
      <c r="K146" s="10">
        <f t="shared" si="92"/>
        <v>7.8840173448381574E-6</v>
      </c>
      <c r="L146">
        <f t="shared" si="59"/>
        <v>1.0000022000048399</v>
      </c>
      <c r="M146">
        <f t="shared" si="60"/>
        <v>126838.88888888891</v>
      </c>
    </row>
    <row r="147" spans="1:13" ht="28" outlineLevel="1" x14ac:dyDescent="0.3">
      <c r="A147" s="101" t="s">
        <v>208</v>
      </c>
      <c r="B147" s="103" t="s">
        <v>7</v>
      </c>
      <c r="C147" s="1">
        <v>1</v>
      </c>
      <c r="D147" s="1">
        <v>114155</v>
      </c>
      <c r="E147" s="1" t="s">
        <v>20</v>
      </c>
      <c r="F147" s="1" t="s">
        <v>27</v>
      </c>
      <c r="G147" s="35" t="s">
        <v>67</v>
      </c>
      <c r="H147" s="3">
        <v>0.7</v>
      </c>
      <c r="I147" s="1">
        <f t="shared" si="91"/>
        <v>163078.57142857145</v>
      </c>
      <c r="J147" s="10">
        <f t="shared" si="85"/>
        <v>6.1320134904296781E-6</v>
      </c>
      <c r="K147" s="10">
        <f t="shared" si="92"/>
        <v>6.1320134904296781E-6</v>
      </c>
      <c r="L147">
        <f t="shared" si="59"/>
        <v>1.0000022000048399</v>
      </c>
      <c r="M147">
        <f t="shared" si="60"/>
        <v>163078.57142857148</v>
      </c>
    </row>
    <row r="148" spans="1:13" outlineLevel="1" x14ac:dyDescent="0.3">
      <c r="A148" s="102"/>
      <c r="B148" s="104"/>
      <c r="C148" s="1">
        <v>1</v>
      </c>
      <c r="D148" s="1">
        <v>114155</v>
      </c>
      <c r="E148" s="1" t="s">
        <v>62</v>
      </c>
      <c r="F148" s="1" t="s">
        <v>28</v>
      </c>
      <c r="G148" s="1" t="s">
        <v>25</v>
      </c>
      <c r="H148" s="3">
        <v>0.3</v>
      </c>
      <c r="I148" s="1">
        <f t="shared" si="91"/>
        <v>0</v>
      </c>
      <c r="J148" s="10">
        <f t="shared" si="85"/>
        <v>0</v>
      </c>
      <c r="K148" s="10">
        <f t="shared" si="92"/>
        <v>0</v>
      </c>
      <c r="L148">
        <f t="shared" si="59"/>
        <v>0</v>
      </c>
      <c r="M148" t="e">
        <f t="shared" si="60"/>
        <v>#DIV/0!</v>
      </c>
    </row>
    <row r="149" spans="1:13" outlineLevel="1" x14ac:dyDescent="0.3">
      <c r="A149" s="101" t="s">
        <v>209</v>
      </c>
      <c r="B149" s="103" t="s">
        <v>8</v>
      </c>
      <c r="C149" s="1">
        <v>1</v>
      </c>
      <c r="D149" s="1">
        <v>22831</v>
      </c>
      <c r="E149" s="1" t="s">
        <v>20</v>
      </c>
      <c r="F149" s="1" t="s">
        <v>28</v>
      </c>
      <c r="G149" s="1" t="s">
        <v>25</v>
      </c>
      <c r="H149" s="3">
        <v>0.5</v>
      </c>
      <c r="I149" s="1">
        <f t="shared" si="91"/>
        <v>0</v>
      </c>
      <c r="J149" s="10">
        <f t="shared" si="85"/>
        <v>0</v>
      </c>
      <c r="K149" s="10">
        <f t="shared" si="92"/>
        <v>0</v>
      </c>
      <c r="L149">
        <f t="shared" si="59"/>
        <v>0</v>
      </c>
      <c r="M149" t="e">
        <f t="shared" si="60"/>
        <v>#DIV/0!</v>
      </c>
    </row>
    <row r="150" spans="1:13" outlineLevel="1" x14ac:dyDescent="0.3">
      <c r="A150" s="102"/>
      <c r="B150" s="104"/>
      <c r="C150" s="1">
        <v>1</v>
      </c>
      <c r="D150" s="1">
        <v>22831</v>
      </c>
      <c r="E150" s="1" t="s">
        <v>29</v>
      </c>
      <c r="F150" s="1" t="s">
        <v>27</v>
      </c>
      <c r="G150" s="1" t="s">
        <v>65</v>
      </c>
      <c r="H150" s="3">
        <v>0.5</v>
      </c>
      <c r="I150" s="1">
        <f>IF(F150="yes",D150/H150,0)</f>
        <v>45662</v>
      </c>
      <c r="J150" s="10">
        <f>IF(I150= 0,0,1/I150)</f>
        <v>2.1900048180105996E-5</v>
      </c>
      <c r="K150" s="10">
        <f>J150*C150</f>
        <v>2.1900048180105996E-5</v>
      </c>
      <c r="L150">
        <f t="shared" si="59"/>
        <v>5.0000110000242</v>
      </c>
      <c r="M150">
        <f t="shared" si="60"/>
        <v>45662.000000000007</v>
      </c>
    </row>
    <row r="151" spans="1:13" s="74" customFormat="1" outlineLevel="1" x14ac:dyDescent="0.3">
      <c r="A151" s="70"/>
      <c r="B151" s="71"/>
      <c r="C151" s="71"/>
      <c r="D151" s="71"/>
      <c r="E151" s="71"/>
      <c r="F151" s="71"/>
      <c r="G151" s="71"/>
      <c r="H151" s="72"/>
      <c r="I151" s="71">
        <f t="shared" si="91"/>
        <v>0</v>
      </c>
      <c r="J151" s="73">
        <f t="shared" si="85"/>
        <v>0</v>
      </c>
      <c r="K151" s="73">
        <f t="shared" si="92"/>
        <v>0</v>
      </c>
      <c r="L151" s="74">
        <f t="shared" si="59"/>
        <v>0</v>
      </c>
      <c r="M151" s="74" t="e">
        <f t="shared" si="60"/>
        <v>#DIV/0!</v>
      </c>
    </row>
    <row r="152" spans="1:13" ht="28" outlineLevel="1" x14ac:dyDescent="0.3">
      <c r="A152" s="101" t="s">
        <v>245</v>
      </c>
      <c r="B152" s="103" t="s">
        <v>9</v>
      </c>
      <c r="C152" s="1">
        <v>2</v>
      </c>
      <c r="D152" s="1">
        <v>114155</v>
      </c>
      <c r="E152" s="1" t="s">
        <v>20</v>
      </c>
      <c r="F152" s="1" t="s">
        <v>27</v>
      </c>
      <c r="G152" s="35" t="s">
        <v>69</v>
      </c>
      <c r="H152" s="3">
        <v>0.5</v>
      </c>
      <c r="I152" s="1">
        <f t="shared" si="91"/>
        <v>228310</v>
      </c>
      <c r="J152" s="10">
        <f t="shared" si="85"/>
        <v>4.3800096360211989E-6</v>
      </c>
      <c r="K152" s="10">
        <f t="shared" si="92"/>
        <v>8.7600192720423978E-6</v>
      </c>
      <c r="L152">
        <f t="shared" si="59"/>
        <v>1.0000022000048399</v>
      </c>
      <c r="M152">
        <f t="shared" si="60"/>
        <v>114155.00000000003</v>
      </c>
    </row>
    <row r="153" spans="1:13" outlineLevel="1" x14ac:dyDescent="0.3">
      <c r="A153" s="102"/>
      <c r="B153" s="104"/>
      <c r="C153" s="1">
        <v>2</v>
      </c>
      <c r="D153" s="1">
        <v>114155</v>
      </c>
      <c r="E153" s="1" t="s">
        <v>29</v>
      </c>
      <c r="F153" s="1" t="s">
        <v>28</v>
      </c>
      <c r="G153" s="1" t="s">
        <v>25</v>
      </c>
      <c r="H153" s="3">
        <v>0.5</v>
      </c>
      <c r="I153" s="1">
        <f t="shared" si="91"/>
        <v>0</v>
      </c>
      <c r="J153" s="10">
        <f t="shared" si="85"/>
        <v>0</v>
      </c>
      <c r="K153" s="10">
        <f t="shared" si="92"/>
        <v>0</v>
      </c>
      <c r="L153">
        <f t="shared" si="59"/>
        <v>0</v>
      </c>
      <c r="M153" t="e">
        <f t="shared" si="60"/>
        <v>#DIV/0!</v>
      </c>
    </row>
    <row r="154" spans="1:13" ht="28" outlineLevel="1" x14ac:dyDescent="0.3">
      <c r="A154" s="101" t="s">
        <v>247</v>
      </c>
      <c r="B154" s="103" t="s">
        <v>9</v>
      </c>
      <c r="C154" s="1">
        <v>1</v>
      </c>
      <c r="D154" s="1">
        <v>114155</v>
      </c>
      <c r="E154" s="1" t="s">
        <v>20</v>
      </c>
      <c r="F154" s="1" t="s">
        <v>27</v>
      </c>
      <c r="G154" s="35" t="s">
        <v>69</v>
      </c>
      <c r="H154" s="3">
        <v>0.5</v>
      </c>
      <c r="I154" s="1">
        <f t="shared" ref="I154:I155" si="93">IF(F154="yes",D154/H154,0)</f>
        <v>228310</v>
      </c>
      <c r="J154" s="10">
        <f t="shared" ref="J154:J155" si="94">IF(I154= 0,0,1/I154)</f>
        <v>4.3800096360211989E-6</v>
      </c>
      <c r="K154" s="10">
        <f t="shared" ref="K154:K155" si="95">J154*C154</f>
        <v>4.3800096360211989E-6</v>
      </c>
      <c r="L154">
        <f t="shared" ref="L154:L155" si="96">IF(F154="yes",1/(D154*365*24*0.000000001),0)</f>
        <v>1.0000022000048399</v>
      </c>
      <c r="M154">
        <f t="shared" ref="M154:M155" si="97">1000000000/(C154*L154*H154*365*24)</f>
        <v>228310.00000000006</v>
      </c>
    </row>
    <row r="155" spans="1:13" outlineLevel="1" x14ac:dyDescent="0.3">
      <c r="A155" s="102"/>
      <c r="B155" s="104"/>
      <c r="C155" s="1">
        <v>1</v>
      </c>
      <c r="D155" s="1">
        <v>114155</v>
      </c>
      <c r="E155" s="1" t="s">
        <v>29</v>
      </c>
      <c r="F155" s="1" t="s">
        <v>28</v>
      </c>
      <c r="G155" s="1" t="s">
        <v>25</v>
      </c>
      <c r="H155" s="3">
        <v>0.5</v>
      </c>
      <c r="I155" s="1">
        <f t="shared" si="93"/>
        <v>0</v>
      </c>
      <c r="J155" s="10">
        <f t="shared" si="94"/>
        <v>0</v>
      </c>
      <c r="K155" s="10">
        <f t="shared" si="95"/>
        <v>0</v>
      </c>
      <c r="L155">
        <f t="shared" si="96"/>
        <v>0</v>
      </c>
      <c r="M155" t="e">
        <f t="shared" si="97"/>
        <v>#DIV/0!</v>
      </c>
    </row>
    <row r="156" spans="1:13" ht="28" outlineLevel="1" x14ac:dyDescent="0.3">
      <c r="A156" s="101" t="s">
        <v>234</v>
      </c>
      <c r="B156" s="103" t="s">
        <v>9</v>
      </c>
      <c r="C156" s="1">
        <v>3</v>
      </c>
      <c r="D156" s="1">
        <v>114155</v>
      </c>
      <c r="E156" s="1" t="s">
        <v>20</v>
      </c>
      <c r="F156" s="1" t="s">
        <v>27</v>
      </c>
      <c r="G156" s="35" t="s">
        <v>69</v>
      </c>
      <c r="H156" s="3">
        <v>0.5</v>
      </c>
      <c r="I156" s="1">
        <f t="shared" ref="I156:I157" si="98">IF(F156="yes",D156/H156,0)</f>
        <v>228310</v>
      </c>
      <c r="J156" s="10">
        <f t="shared" ref="J156:J157" si="99">IF(I156= 0,0,1/I156)</f>
        <v>4.3800096360211989E-6</v>
      </c>
      <c r="K156" s="10">
        <f t="shared" ref="K156:K157" si="100">J156*C156</f>
        <v>1.3140028908063597E-5</v>
      </c>
      <c r="L156">
        <f t="shared" ref="L156:L157" si="101">IF(F156="yes",1/(D156*365*24*0.000000001),0)</f>
        <v>1.0000022000048399</v>
      </c>
      <c r="M156">
        <f t="shared" ref="M156:M157" si="102">1000000000/(C156*L156*H156*365*24)</f>
        <v>76103.333333333328</v>
      </c>
    </row>
    <row r="157" spans="1:13" outlineLevel="1" x14ac:dyDescent="0.3">
      <c r="A157" s="102"/>
      <c r="B157" s="104"/>
      <c r="C157" s="1">
        <v>3</v>
      </c>
      <c r="D157" s="1">
        <v>114155</v>
      </c>
      <c r="E157" s="1" t="s">
        <v>29</v>
      </c>
      <c r="F157" s="1" t="s">
        <v>28</v>
      </c>
      <c r="G157" s="1" t="s">
        <v>25</v>
      </c>
      <c r="H157" s="3">
        <v>0.5</v>
      </c>
      <c r="I157" s="1">
        <f t="shared" si="98"/>
        <v>0</v>
      </c>
      <c r="J157" s="10">
        <f t="shared" si="99"/>
        <v>0</v>
      </c>
      <c r="K157" s="10">
        <f t="shared" si="100"/>
        <v>0</v>
      </c>
      <c r="L157">
        <f t="shared" si="101"/>
        <v>0</v>
      </c>
      <c r="M157" t="e">
        <f t="shared" si="102"/>
        <v>#DIV/0!</v>
      </c>
    </row>
    <row r="158" spans="1:13" ht="28" outlineLevel="1" x14ac:dyDescent="0.3">
      <c r="A158" s="112" t="s">
        <v>210</v>
      </c>
      <c r="B158" s="107" t="s">
        <v>7</v>
      </c>
      <c r="C158" s="1">
        <v>1</v>
      </c>
      <c r="D158" s="1">
        <v>114155</v>
      </c>
      <c r="E158" s="1" t="s">
        <v>20</v>
      </c>
      <c r="F158" s="1" t="s">
        <v>27</v>
      </c>
      <c r="G158" s="35" t="s">
        <v>70</v>
      </c>
      <c r="H158" s="3">
        <v>0.7</v>
      </c>
      <c r="I158" s="1">
        <f t="shared" si="91"/>
        <v>163078.57142857145</v>
      </c>
      <c r="J158" s="10">
        <f t="shared" si="85"/>
        <v>6.1320134904296781E-6</v>
      </c>
      <c r="K158" s="10">
        <f t="shared" si="92"/>
        <v>6.1320134904296781E-6</v>
      </c>
      <c r="L158">
        <f t="shared" si="59"/>
        <v>1.0000022000048399</v>
      </c>
      <c r="M158">
        <f t="shared" si="60"/>
        <v>163078.57142857148</v>
      </c>
    </row>
    <row r="159" spans="1:13" outlineLevel="1" x14ac:dyDescent="0.3">
      <c r="A159" s="113"/>
      <c r="B159" s="108"/>
      <c r="C159" s="1">
        <v>1</v>
      </c>
      <c r="D159" s="1">
        <v>114155</v>
      </c>
      <c r="E159" s="1" t="s">
        <v>24</v>
      </c>
      <c r="F159" s="1" t="s">
        <v>28</v>
      </c>
      <c r="G159" s="1" t="s">
        <v>25</v>
      </c>
      <c r="H159" s="3">
        <v>0.3</v>
      </c>
      <c r="I159" s="1">
        <f t="shared" si="91"/>
        <v>0</v>
      </c>
      <c r="J159" s="10">
        <f t="shared" si="85"/>
        <v>0</v>
      </c>
      <c r="K159" s="10">
        <f t="shared" si="92"/>
        <v>0</v>
      </c>
      <c r="L159">
        <f t="shared" si="59"/>
        <v>0</v>
      </c>
      <c r="M159" t="e">
        <f t="shared" si="60"/>
        <v>#DIV/0!</v>
      </c>
    </row>
    <row r="160" spans="1:13" ht="28" outlineLevel="1" x14ac:dyDescent="0.3">
      <c r="A160" s="101" t="s">
        <v>211</v>
      </c>
      <c r="B160" s="103" t="s">
        <v>7</v>
      </c>
      <c r="C160" s="38">
        <v>2</v>
      </c>
      <c r="D160" s="82">
        <v>57305.9</v>
      </c>
      <c r="E160" s="38" t="s">
        <v>20</v>
      </c>
      <c r="F160" s="38" t="s">
        <v>27</v>
      </c>
      <c r="G160" s="41" t="s">
        <v>257</v>
      </c>
      <c r="H160" s="47">
        <v>0.7</v>
      </c>
      <c r="I160" s="38">
        <f t="shared" si="91"/>
        <v>81865.571428571435</v>
      </c>
      <c r="J160" s="48">
        <f t="shared" si="85"/>
        <v>1.2215147131447197E-5</v>
      </c>
      <c r="K160" s="48">
        <f t="shared" si="92"/>
        <v>2.4430294262894394E-5</v>
      </c>
    </row>
    <row r="161" spans="1:13" outlineLevel="1" x14ac:dyDescent="0.3">
      <c r="A161" s="102"/>
      <c r="B161" s="104"/>
      <c r="C161" s="38">
        <v>2</v>
      </c>
      <c r="D161" s="82">
        <v>57305.9</v>
      </c>
      <c r="E161" s="38" t="s">
        <v>148</v>
      </c>
      <c r="F161" s="38" t="s">
        <v>28</v>
      </c>
      <c r="G161" s="41" t="s">
        <v>25</v>
      </c>
      <c r="H161" s="47">
        <v>0.3</v>
      </c>
      <c r="I161" s="38">
        <f t="shared" si="91"/>
        <v>0</v>
      </c>
      <c r="J161" s="48">
        <f t="shared" si="85"/>
        <v>0</v>
      </c>
      <c r="K161" s="48">
        <f t="shared" si="92"/>
        <v>0</v>
      </c>
    </row>
    <row r="162" spans="1:13" outlineLevel="1" x14ac:dyDescent="0.3">
      <c r="A162" s="105" t="s">
        <v>212</v>
      </c>
      <c r="B162" s="107" t="s">
        <v>8</v>
      </c>
      <c r="C162" s="1">
        <v>10</v>
      </c>
      <c r="D162" s="1">
        <v>22831</v>
      </c>
      <c r="E162" s="1" t="s">
        <v>20</v>
      </c>
      <c r="F162" s="1" t="s">
        <v>28</v>
      </c>
      <c r="G162" s="1" t="s">
        <v>25</v>
      </c>
      <c r="H162" s="3">
        <v>0.5</v>
      </c>
      <c r="I162" s="1">
        <f t="shared" si="91"/>
        <v>0</v>
      </c>
      <c r="J162" s="10">
        <f t="shared" si="85"/>
        <v>0</v>
      </c>
      <c r="K162" s="10">
        <f t="shared" si="92"/>
        <v>0</v>
      </c>
      <c r="L162">
        <f t="shared" ref="L162:L216" si="103">IF(F162="yes",1/(D162*365*24*0.000000001),0)</f>
        <v>0</v>
      </c>
      <c r="M162" t="e">
        <f t="shared" ref="M162:M215" si="104">1000000000/(C162*L162*H162*365*24)</f>
        <v>#DIV/0!</v>
      </c>
    </row>
    <row r="163" spans="1:13" ht="28" outlineLevel="1" x14ac:dyDescent="0.3">
      <c r="A163" s="106"/>
      <c r="B163" s="108"/>
      <c r="C163" s="1">
        <v>10</v>
      </c>
      <c r="D163" s="1">
        <v>22831</v>
      </c>
      <c r="E163" s="1" t="s">
        <v>29</v>
      </c>
      <c r="F163" s="1" t="s">
        <v>27</v>
      </c>
      <c r="G163" s="35" t="s">
        <v>71</v>
      </c>
      <c r="H163" s="3">
        <v>0.5</v>
      </c>
      <c r="I163" s="1">
        <f t="shared" si="91"/>
        <v>45662</v>
      </c>
      <c r="J163" s="10">
        <f t="shared" si="85"/>
        <v>2.1900048180105996E-5</v>
      </c>
      <c r="K163" s="10">
        <f t="shared" si="92"/>
        <v>2.1900048180105997E-4</v>
      </c>
      <c r="L163">
        <f t="shared" si="103"/>
        <v>5.0000110000242</v>
      </c>
      <c r="M163">
        <f t="shared" si="104"/>
        <v>4566.2</v>
      </c>
    </row>
    <row r="164" spans="1:13" outlineLevel="1" x14ac:dyDescent="0.3">
      <c r="A164" s="105" t="s">
        <v>213</v>
      </c>
      <c r="B164" s="107" t="s">
        <v>8</v>
      </c>
      <c r="C164" s="1">
        <v>3</v>
      </c>
      <c r="D164" s="1">
        <v>22831</v>
      </c>
      <c r="E164" s="1" t="s">
        <v>20</v>
      </c>
      <c r="F164" s="1" t="s">
        <v>28</v>
      </c>
      <c r="G164" s="1" t="s">
        <v>25</v>
      </c>
      <c r="H164" s="3">
        <v>0.5</v>
      </c>
      <c r="I164" s="1">
        <f t="shared" ref="I164:I165" si="105">IF(F164="yes",D164/H164,0)</f>
        <v>0</v>
      </c>
      <c r="J164" s="10">
        <f t="shared" ref="J164:J165" si="106">IF(I164= 0,0,1/I164)</f>
        <v>0</v>
      </c>
      <c r="K164" s="10">
        <f t="shared" ref="K164:K165" si="107">J164*C164</f>
        <v>0</v>
      </c>
      <c r="L164">
        <f t="shared" ref="L164:L165" si="108">IF(F164="yes",1/(D164*365*24*0.000000001),0)</f>
        <v>0</v>
      </c>
      <c r="M164" t="e">
        <f t="shared" ref="M164:M165" si="109">1000000000/(C164*L164*H164*365*24)</f>
        <v>#DIV/0!</v>
      </c>
    </row>
    <row r="165" spans="1:13" ht="28" outlineLevel="1" x14ac:dyDescent="0.3">
      <c r="A165" s="106"/>
      <c r="B165" s="108"/>
      <c r="C165" s="1">
        <v>3</v>
      </c>
      <c r="D165" s="1">
        <v>22831</v>
      </c>
      <c r="E165" s="1" t="s">
        <v>29</v>
      </c>
      <c r="F165" s="1" t="s">
        <v>27</v>
      </c>
      <c r="G165" s="35" t="s">
        <v>215</v>
      </c>
      <c r="H165" s="3">
        <v>0.5</v>
      </c>
      <c r="I165" s="1">
        <f t="shared" si="105"/>
        <v>45662</v>
      </c>
      <c r="J165" s="10">
        <f t="shared" si="106"/>
        <v>2.1900048180105996E-5</v>
      </c>
      <c r="K165" s="10">
        <f t="shared" si="107"/>
        <v>6.5700144540317985E-5</v>
      </c>
      <c r="L165">
        <f t="shared" si="108"/>
        <v>5.0000110000242</v>
      </c>
      <c r="M165">
        <f t="shared" si="109"/>
        <v>15220.666666666668</v>
      </c>
    </row>
    <row r="166" spans="1:13" outlineLevel="1" x14ac:dyDescent="0.3">
      <c r="A166" s="105" t="s">
        <v>214</v>
      </c>
      <c r="B166" s="107" t="s">
        <v>8</v>
      </c>
      <c r="C166" s="1">
        <v>2</v>
      </c>
      <c r="D166" s="1">
        <v>22831</v>
      </c>
      <c r="E166" s="1" t="s">
        <v>20</v>
      </c>
      <c r="F166" s="1" t="s">
        <v>28</v>
      </c>
      <c r="G166" s="1" t="s">
        <v>25</v>
      </c>
      <c r="H166" s="3">
        <v>0.5</v>
      </c>
      <c r="I166" s="1">
        <f t="shared" ref="I166:I168" si="110">IF(F166="yes",D166/H166,0)</f>
        <v>0</v>
      </c>
      <c r="J166" s="10">
        <f t="shared" ref="J166:J168" si="111">IF(I166= 0,0,1/I166)</f>
        <v>0</v>
      </c>
      <c r="K166" s="10">
        <f t="shared" ref="K166:K168" si="112">J166*C166</f>
        <v>0</v>
      </c>
      <c r="L166">
        <f t="shared" ref="L166:L168" si="113">IF(F166="yes",1/(D166*365*24*0.000000001),0)</f>
        <v>0</v>
      </c>
      <c r="M166" t="e">
        <f t="shared" ref="M166:M168" si="114">1000000000/(C166*L166*H166*365*24)</f>
        <v>#DIV/0!</v>
      </c>
    </row>
    <row r="167" spans="1:13" outlineLevel="1" x14ac:dyDescent="0.3">
      <c r="A167" s="106"/>
      <c r="B167" s="108"/>
      <c r="C167" s="1">
        <v>2</v>
      </c>
      <c r="D167" s="1">
        <v>22831</v>
      </c>
      <c r="E167" s="1" t="s">
        <v>29</v>
      </c>
      <c r="F167" s="1" t="s">
        <v>28</v>
      </c>
      <c r="G167" s="1" t="s">
        <v>25</v>
      </c>
      <c r="H167" s="3">
        <v>0.5</v>
      </c>
      <c r="I167" s="1">
        <f t="shared" si="110"/>
        <v>0</v>
      </c>
      <c r="J167" s="10">
        <f t="shared" si="111"/>
        <v>0</v>
      </c>
      <c r="K167" s="10">
        <f t="shared" si="112"/>
        <v>0</v>
      </c>
      <c r="L167">
        <f t="shared" si="113"/>
        <v>0</v>
      </c>
      <c r="M167" t="e">
        <f t="shared" si="114"/>
        <v>#DIV/0!</v>
      </c>
    </row>
    <row r="168" spans="1:13" ht="28" outlineLevel="1" x14ac:dyDescent="0.3">
      <c r="A168" s="11" t="s">
        <v>218</v>
      </c>
      <c r="B168" s="1" t="s">
        <v>72</v>
      </c>
      <c r="C168" s="1">
        <v>1</v>
      </c>
      <c r="D168" s="1">
        <v>1490.82</v>
      </c>
      <c r="E168" s="1" t="s">
        <v>73</v>
      </c>
      <c r="F168" s="1" t="s">
        <v>291</v>
      </c>
      <c r="G168" s="35" t="s">
        <v>292</v>
      </c>
      <c r="H168" s="3">
        <v>1</v>
      </c>
      <c r="I168" s="1">
        <f t="shared" si="110"/>
        <v>0</v>
      </c>
      <c r="J168" s="10">
        <f t="shared" si="111"/>
        <v>0</v>
      </c>
      <c r="K168" s="10">
        <f t="shared" si="112"/>
        <v>0</v>
      </c>
      <c r="L168">
        <f t="shared" si="113"/>
        <v>0</v>
      </c>
      <c r="M168" t="e">
        <f t="shared" si="114"/>
        <v>#DIV/0!</v>
      </c>
    </row>
    <row r="169" spans="1:13" ht="42" outlineLevel="1" x14ac:dyDescent="0.3">
      <c r="A169" s="11" t="s">
        <v>216</v>
      </c>
      <c r="B169" s="1" t="s">
        <v>217</v>
      </c>
      <c r="C169" s="1">
        <v>1</v>
      </c>
      <c r="D169" s="1">
        <v>17.767790000000002</v>
      </c>
      <c r="E169" s="1" t="s">
        <v>73</v>
      </c>
      <c r="F169" s="1" t="s">
        <v>291</v>
      </c>
      <c r="G169" s="35" t="s">
        <v>223</v>
      </c>
      <c r="H169" s="3">
        <v>1</v>
      </c>
      <c r="I169" s="1">
        <f t="shared" si="91"/>
        <v>0</v>
      </c>
      <c r="J169" s="10">
        <f t="shared" si="85"/>
        <v>0</v>
      </c>
      <c r="K169" s="10">
        <f t="shared" si="92"/>
        <v>0</v>
      </c>
      <c r="L169">
        <f t="shared" si="103"/>
        <v>0</v>
      </c>
      <c r="M169" t="e">
        <f t="shared" si="104"/>
        <v>#DIV/0!</v>
      </c>
    </row>
    <row r="170" spans="1:13" ht="42" outlineLevel="1" x14ac:dyDescent="0.3">
      <c r="A170" s="101" t="s">
        <v>222</v>
      </c>
      <c r="B170" s="103" t="s">
        <v>221</v>
      </c>
      <c r="C170" s="1">
        <v>1</v>
      </c>
      <c r="D170" s="1">
        <v>11415</v>
      </c>
      <c r="E170" s="1" t="s">
        <v>20</v>
      </c>
      <c r="F170" s="1" t="s">
        <v>27</v>
      </c>
      <c r="G170" s="35" t="s">
        <v>224</v>
      </c>
      <c r="H170" s="3">
        <v>0.7</v>
      </c>
      <c r="I170" s="1">
        <f t="shared" ref="I170:I171" si="115">IF(F170="yes",D170/H170,0)</f>
        <v>16307.142857142859</v>
      </c>
      <c r="J170" s="10">
        <f t="shared" ref="J170:J171" si="116">IF(I170= 0,0,1/I170)</f>
        <v>6.1322820849759089E-5</v>
      </c>
      <c r="K170" s="10">
        <f t="shared" ref="K170:K171" si="117">J170*C170</f>
        <v>6.1322820849759089E-5</v>
      </c>
      <c r="L170">
        <f t="shared" ref="L170:L171" si="118">IF(F170="yes",1/(D170*365*24*0.000000001),0)</f>
        <v>10.000460021160972</v>
      </c>
      <c r="M170">
        <f t="shared" ref="M170:M171" si="119">1000000000/(C170*L170*H170*365*24)</f>
        <v>16307.142857142861</v>
      </c>
    </row>
    <row r="171" spans="1:13" ht="42" outlineLevel="1" x14ac:dyDescent="0.3">
      <c r="A171" s="102"/>
      <c r="B171" s="104"/>
      <c r="C171" s="1">
        <v>1</v>
      </c>
      <c r="D171" s="1">
        <v>11415</v>
      </c>
      <c r="E171" s="1" t="s">
        <v>62</v>
      </c>
      <c r="F171" s="1" t="s">
        <v>27</v>
      </c>
      <c r="G171" s="35" t="s">
        <v>225</v>
      </c>
      <c r="H171" s="3">
        <v>0.3</v>
      </c>
      <c r="I171" s="1">
        <f t="shared" si="115"/>
        <v>38050</v>
      </c>
      <c r="J171" s="10">
        <f t="shared" si="116"/>
        <v>2.6281208935611039E-5</v>
      </c>
      <c r="K171" s="10">
        <f t="shared" si="117"/>
        <v>2.6281208935611039E-5</v>
      </c>
      <c r="L171">
        <f t="shared" si="118"/>
        <v>10.000460021160972</v>
      </c>
      <c r="M171">
        <f t="shared" si="119"/>
        <v>38050.000000000007</v>
      </c>
    </row>
    <row r="172" spans="1:13" outlineLevel="1" x14ac:dyDescent="0.3">
      <c r="A172" s="101" t="s">
        <v>220</v>
      </c>
      <c r="B172" s="103" t="s">
        <v>7</v>
      </c>
      <c r="C172" s="1">
        <v>1</v>
      </c>
      <c r="D172" s="1">
        <v>114155</v>
      </c>
      <c r="E172" s="1" t="s">
        <v>20</v>
      </c>
      <c r="F172" s="1" t="s">
        <v>28</v>
      </c>
      <c r="G172" s="35" t="s">
        <v>25</v>
      </c>
      <c r="H172" s="3">
        <v>0.7</v>
      </c>
      <c r="I172" s="1">
        <f t="shared" si="91"/>
        <v>0</v>
      </c>
      <c r="J172" s="10">
        <f t="shared" si="85"/>
        <v>0</v>
      </c>
      <c r="K172" s="10">
        <f t="shared" si="92"/>
        <v>0</v>
      </c>
      <c r="L172">
        <f t="shared" si="103"/>
        <v>0</v>
      </c>
      <c r="M172" t="e">
        <f t="shared" si="104"/>
        <v>#DIV/0!</v>
      </c>
    </row>
    <row r="173" spans="1:13" outlineLevel="1" x14ac:dyDescent="0.3">
      <c r="A173" s="102"/>
      <c r="B173" s="104"/>
      <c r="C173" s="1">
        <v>1</v>
      </c>
      <c r="D173" s="1">
        <v>114155</v>
      </c>
      <c r="E173" s="1" t="s">
        <v>62</v>
      </c>
      <c r="F173" s="1" t="s">
        <v>28</v>
      </c>
      <c r="G173" s="35" t="s">
        <v>25</v>
      </c>
      <c r="H173" s="3">
        <v>0.3</v>
      </c>
      <c r="I173" s="1">
        <f t="shared" si="91"/>
        <v>0</v>
      </c>
      <c r="J173" s="10">
        <f t="shared" si="85"/>
        <v>0</v>
      </c>
      <c r="K173" s="10">
        <f t="shared" si="92"/>
        <v>0</v>
      </c>
      <c r="L173">
        <f t="shared" si="103"/>
        <v>0</v>
      </c>
      <c r="M173" t="e">
        <f t="shared" si="104"/>
        <v>#DIV/0!</v>
      </c>
    </row>
    <row r="174" spans="1:13" ht="28" outlineLevel="1" x14ac:dyDescent="0.3">
      <c r="A174" s="101" t="s">
        <v>219</v>
      </c>
      <c r="B174" s="103" t="s">
        <v>7</v>
      </c>
      <c r="C174" s="1">
        <v>5</v>
      </c>
      <c r="D174" s="1">
        <v>114155</v>
      </c>
      <c r="E174" s="1" t="s">
        <v>20</v>
      </c>
      <c r="F174" s="1" t="s">
        <v>27</v>
      </c>
      <c r="G174" s="35" t="s">
        <v>226</v>
      </c>
      <c r="H174" s="3">
        <v>0.7</v>
      </c>
      <c r="I174" s="1">
        <f t="shared" si="91"/>
        <v>163078.57142857145</v>
      </c>
      <c r="J174" s="10">
        <f t="shared" si="85"/>
        <v>6.1320134904296781E-6</v>
      </c>
      <c r="K174" s="10">
        <f t="shared" si="92"/>
        <v>3.0660067452148394E-5</v>
      </c>
      <c r="L174">
        <f t="shared" si="103"/>
        <v>1.0000022000048399</v>
      </c>
      <c r="M174">
        <f t="shared" si="104"/>
        <v>32615.714285714294</v>
      </c>
    </row>
    <row r="175" spans="1:13" outlineLevel="1" x14ac:dyDescent="0.3">
      <c r="A175" s="102"/>
      <c r="B175" s="104"/>
      <c r="C175" s="1">
        <v>5</v>
      </c>
      <c r="D175" s="1">
        <v>114155</v>
      </c>
      <c r="E175" s="1" t="s">
        <v>62</v>
      </c>
      <c r="F175" s="1" t="s">
        <v>28</v>
      </c>
      <c r="G175" s="35" t="s">
        <v>25</v>
      </c>
      <c r="H175" s="3">
        <v>0.3</v>
      </c>
      <c r="I175" s="1">
        <f t="shared" si="91"/>
        <v>0</v>
      </c>
      <c r="J175" s="10">
        <f t="shared" si="85"/>
        <v>0</v>
      </c>
      <c r="K175" s="10">
        <f t="shared" si="92"/>
        <v>0</v>
      </c>
      <c r="L175">
        <f t="shared" si="103"/>
        <v>0</v>
      </c>
      <c r="M175" t="e">
        <f t="shared" si="104"/>
        <v>#DIV/0!</v>
      </c>
    </row>
    <row r="176" spans="1:13" s="74" customFormat="1" outlineLevel="1" x14ac:dyDescent="0.3">
      <c r="A176" s="109"/>
      <c r="B176" s="110"/>
      <c r="C176" s="110"/>
      <c r="D176" s="110"/>
      <c r="E176" s="110"/>
      <c r="F176" s="110"/>
      <c r="G176" s="110"/>
      <c r="H176" s="110"/>
      <c r="I176" s="110"/>
      <c r="J176" s="110"/>
      <c r="K176" s="111"/>
      <c r="L176" s="74">
        <f t="shared" si="103"/>
        <v>0</v>
      </c>
      <c r="M176" s="74" t="e">
        <f t="shared" si="104"/>
        <v>#DIV/0!</v>
      </c>
    </row>
    <row r="177" spans="1:13" ht="28" outlineLevel="1" x14ac:dyDescent="0.3">
      <c r="A177" s="11" t="s">
        <v>126</v>
      </c>
      <c r="B177" s="1" t="s">
        <v>74</v>
      </c>
      <c r="C177" s="1">
        <v>1</v>
      </c>
      <c r="D177" s="1">
        <v>891.28</v>
      </c>
      <c r="E177" s="1" t="s">
        <v>73</v>
      </c>
      <c r="F177" s="1" t="s">
        <v>27</v>
      </c>
      <c r="G177" s="35" t="s">
        <v>75</v>
      </c>
      <c r="H177" s="3">
        <v>1</v>
      </c>
      <c r="I177" s="1">
        <f t="shared" ref="I177:I197" si="120">IF(F177="yes",D177/H177,0)</f>
        <v>891.28</v>
      </c>
      <c r="J177" s="10">
        <f t="shared" si="85"/>
        <v>1.1219818687730006E-3</v>
      </c>
      <c r="K177" s="10">
        <f t="shared" ref="K177:K197" si="121">J177*C177</f>
        <v>1.1219818687730006E-3</v>
      </c>
      <c r="L177">
        <f t="shared" si="103"/>
        <v>128.08012200605029</v>
      </c>
      <c r="M177">
        <f t="shared" si="104"/>
        <v>891.28000000000009</v>
      </c>
    </row>
    <row r="178" spans="1:13" outlineLevel="1" x14ac:dyDescent="0.3">
      <c r="A178" s="101" t="s">
        <v>228</v>
      </c>
      <c r="B178" s="103" t="s">
        <v>8</v>
      </c>
      <c r="C178" s="1">
        <v>2</v>
      </c>
      <c r="D178" s="1">
        <v>22831</v>
      </c>
      <c r="E178" s="1" t="s">
        <v>20</v>
      </c>
      <c r="F178" s="1" t="s">
        <v>28</v>
      </c>
      <c r="G178" s="1" t="s">
        <v>25</v>
      </c>
      <c r="H178" s="3">
        <v>0.5</v>
      </c>
      <c r="I178" s="1">
        <f t="shared" si="120"/>
        <v>0</v>
      </c>
      <c r="J178" s="10">
        <f t="shared" si="85"/>
        <v>0</v>
      </c>
      <c r="K178" s="10">
        <f t="shared" si="121"/>
        <v>0</v>
      </c>
      <c r="L178">
        <f t="shared" si="103"/>
        <v>0</v>
      </c>
      <c r="M178" t="e">
        <f t="shared" si="104"/>
        <v>#DIV/0!</v>
      </c>
    </row>
    <row r="179" spans="1:13" ht="28" outlineLevel="1" x14ac:dyDescent="0.3">
      <c r="A179" s="102"/>
      <c r="B179" s="104"/>
      <c r="C179" s="1">
        <v>2</v>
      </c>
      <c r="D179" s="1">
        <v>22831</v>
      </c>
      <c r="E179" s="1" t="s">
        <v>29</v>
      </c>
      <c r="F179" s="1" t="s">
        <v>27</v>
      </c>
      <c r="G179" s="35" t="s">
        <v>76</v>
      </c>
      <c r="H179" s="3">
        <v>0.5</v>
      </c>
      <c r="I179" s="1">
        <f t="shared" si="120"/>
        <v>45662</v>
      </c>
      <c r="J179" s="10">
        <f t="shared" si="85"/>
        <v>2.1900048180105996E-5</v>
      </c>
      <c r="K179" s="10">
        <f t="shared" si="121"/>
        <v>4.3800096360211993E-5</v>
      </c>
      <c r="L179">
        <f t="shared" si="103"/>
        <v>5.0000110000242</v>
      </c>
      <c r="M179">
        <f t="shared" si="104"/>
        <v>22831.000000000004</v>
      </c>
    </row>
    <row r="180" spans="1:13" ht="28" outlineLevel="1" x14ac:dyDescent="0.3">
      <c r="A180" s="101" t="s">
        <v>227</v>
      </c>
      <c r="B180" s="103" t="s">
        <v>8</v>
      </c>
      <c r="C180" s="1">
        <v>2</v>
      </c>
      <c r="D180" s="1">
        <v>22831</v>
      </c>
      <c r="E180" s="1" t="s">
        <v>20</v>
      </c>
      <c r="F180" s="1" t="s">
        <v>27</v>
      </c>
      <c r="G180" s="35" t="s">
        <v>77</v>
      </c>
      <c r="H180" s="3">
        <v>0.5</v>
      </c>
      <c r="I180" s="1">
        <f t="shared" si="120"/>
        <v>45662</v>
      </c>
      <c r="J180" s="10">
        <f t="shared" si="85"/>
        <v>2.1900048180105996E-5</v>
      </c>
      <c r="K180" s="10">
        <f t="shared" si="121"/>
        <v>4.3800096360211993E-5</v>
      </c>
      <c r="L180">
        <f t="shared" si="103"/>
        <v>5.0000110000242</v>
      </c>
      <c r="M180">
        <f t="shared" si="104"/>
        <v>22831.000000000004</v>
      </c>
    </row>
    <row r="181" spans="1:13" ht="28" outlineLevel="1" x14ac:dyDescent="0.3">
      <c r="A181" s="102"/>
      <c r="B181" s="104"/>
      <c r="C181" s="1">
        <v>2</v>
      </c>
      <c r="D181" s="1">
        <v>22831</v>
      </c>
      <c r="E181" s="1" t="s">
        <v>29</v>
      </c>
      <c r="F181" s="1" t="s">
        <v>27</v>
      </c>
      <c r="G181" s="35" t="s">
        <v>77</v>
      </c>
      <c r="H181" s="3">
        <v>0.5</v>
      </c>
      <c r="I181" s="1">
        <f t="shared" si="120"/>
        <v>45662</v>
      </c>
      <c r="J181" s="10">
        <f t="shared" ref="J181:J216" si="122">IF(I181= 0,0,1/I181)</f>
        <v>2.1900048180105996E-5</v>
      </c>
      <c r="K181" s="10">
        <f t="shared" si="121"/>
        <v>4.3800096360211993E-5</v>
      </c>
      <c r="L181">
        <f t="shared" si="103"/>
        <v>5.0000110000242</v>
      </c>
      <c r="M181">
        <f t="shared" si="104"/>
        <v>22831.000000000004</v>
      </c>
    </row>
    <row r="182" spans="1:13" ht="28" outlineLevel="1" x14ac:dyDescent="0.3">
      <c r="A182" s="37" t="s">
        <v>123</v>
      </c>
      <c r="B182" s="38" t="s">
        <v>11</v>
      </c>
      <c r="C182" s="1">
        <v>1</v>
      </c>
      <c r="D182" s="1">
        <v>38052</v>
      </c>
      <c r="E182" s="1" t="s">
        <v>73</v>
      </c>
      <c r="F182" s="1" t="s">
        <v>27</v>
      </c>
      <c r="G182" s="35" t="s">
        <v>78</v>
      </c>
      <c r="H182" s="3">
        <v>1</v>
      </c>
      <c r="I182" s="1">
        <f t="shared" si="120"/>
        <v>38052</v>
      </c>
      <c r="J182" s="10">
        <f t="shared" si="122"/>
        <v>2.6279827604330916E-5</v>
      </c>
      <c r="K182" s="10">
        <f t="shared" si="121"/>
        <v>2.6279827604330916E-5</v>
      </c>
      <c r="L182">
        <f t="shared" si="103"/>
        <v>2.9999803201291</v>
      </c>
      <c r="M182">
        <f t="shared" si="104"/>
        <v>38052</v>
      </c>
    </row>
    <row r="183" spans="1:13" outlineLevel="1" x14ac:dyDescent="0.3">
      <c r="A183" s="101" t="s">
        <v>229</v>
      </c>
      <c r="B183" s="103" t="s">
        <v>8</v>
      </c>
      <c r="C183" s="1">
        <v>6</v>
      </c>
      <c r="D183" s="1">
        <v>22831</v>
      </c>
      <c r="E183" s="1" t="s">
        <v>20</v>
      </c>
      <c r="F183" s="1" t="s">
        <v>28</v>
      </c>
      <c r="G183" s="1" t="s">
        <v>25</v>
      </c>
      <c r="H183" s="3">
        <v>0.5</v>
      </c>
      <c r="I183" s="1">
        <f t="shared" si="120"/>
        <v>0</v>
      </c>
      <c r="J183" s="10">
        <f t="shared" si="122"/>
        <v>0</v>
      </c>
      <c r="K183" s="10">
        <f t="shared" si="121"/>
        <v>0</v>
      </c>
      <c r="L183">
        <f t="shared" si="103"/>
        <v>0</v>
      </c>
      <c r="M183" t="e">
        <f t="shared" si="104"/>
        <v>#DIV/0!</v>
      </c>
    </row>
    <row r="184" spans="1:13" ht="28" outlineLevel="1" x14ac:dyDescent="0.3">
      <c r="A184" s="102"/>
      <c r="B184" s="104"/>
      <c r="C184" s="1">
        <v>6</v>
      </c>
      <c r="D184" s="1">
        <v>22831</v>
      </c>
      <c r="E184" s="1" t="s">
        <v>29</v>
      </c>
      <c r="F184" s="1" t="s">
        <v>27</v>
      </c>
      <c r="G184" s="35" t="s">
        <v>76</v>
      </c>
      <c r="H184" s="3">
        <v>0.5</v>
      </c>
      <c r="I184" s="1">
        <f t="shared" si="120"/>
        <v>45662</v>
      </c>
      <c r="J184" s="10">
        <f t="shared" si="122"/>
        <v>2.1900048180105996E-5</v>
      </c>
      <c r="K184" s="10">
        <f t="shared" si="121"/>
        <v>1.3140028908063597E-4</v>
      </c>
      <c r="L184">
        <f t="shared" si="103"/>
        <v>5.0000110000242</v>
      </c>
      <c r="M184">
        <f t="shared" si="104"/>
        <v>7610.3333333333339</v>
      </c>
    </row>
    <row r="185" spans="1:13" ht="28" outlineLevel="1" x14ac:dyDescent="0.3">
      <c r="A185" s="101" t="s">
        <v>232</v>
      </c>
      <c r="B185" s="103" t="s">
        <v>7</v>
      </c>
      <c r="C185" s="1">
        <v>5</v>
      </c>
      <c r="D185" s="1">
        <v>22831</v>
      </c>
      <c r="E185" s="1" t="s">
        <v>20</v>
      </c>
      <c r="F185" s="1" t="s">
        <v>28</v>
      </c>
      <c r="G185" s="35" t="s">
        <v>230</v>
      </c>
      <c r="H185" s="3">
        <v>0.7</v>
      </c>
      <c r="I185" s="1">
        <f t="shared" ref="I185:I186" si="123">IF(F185="yes",D185/H185,0)</f>
        <v>0</v>
      </c>
      <c r="J185" s="10">
        <f t="shared" ref="J185:J186" si="124">IF(I185= 0,0,1/I185)</f>
        <v>0</v>
      </c>
      <c r="K185" s="10">
        <f t="shared" ref="K185:K186" si="125">J185*C185</f>
        <v>0</v>
      </c>
      <c r="L185">
        <f t="shared" ref="L185:L186" si="126">IF(F185="yes",1/(D185*365*24*0.000000001),0)</f>
        <v>0</v>
      </c>
      <c r="M185" t="e">
        <f t="shared" ref="M185:M186" si="127">1000000000/(C185*L185*H185*365*24)</f>
        <v>#DIV/0!</v>
      </c>
    </row>
    <row r="186" spans="1:13" outlineLevel="1" x14ac:dyDescent="0.3">
      <c r="A186" s="102"/>
      <c r="B186" s="104"/>
      <c r="C186" s="1">
        <v>5</v>
      </c>
      <c r="D186" s="1">
        <v>22831</v>
      </c>
      <c r="E186" s="1" t="s">
        <v>62</v>
      </c>
      <c r="F186" s="1" t="s">
        <v>28</v>
      </c>
      <c r="G186" s="1" t="s">
        <v>25</v>
      </c>
      <c r="H186" s="3">
        <v>0.3</v>
      </c>
      <c r="I186" s="1">
        <f t="shared" si="123"/>
        <v>0</v>
      </c>
      <c r="J186" s="10">
        <f t="shared" si="124"/>
        <v>0</v>
      </c>
      <c r="K186" s="10">
        <f t="shared" si="125"/>
        <v>0</v>
      </c>
      <c r="L186">
        <f t="shared" si="126"/>
        <v>0</v>
      </c>
      <c r="M186" t="e">
        <f t="shared" si="127"/>
        <v>#DIV/0!</v>
      </c>
    </row>
    <row r="187" spans="1:13" ht="28" outlineLevel="1" x14ac:dyDescent="0.3">
      <c r="A187" s="101" t="s">
        <v>231</v>
      </c>
      <c r="B187" s="103" t="s">
        <v>7</v>
      </c>
      <c r="C187" s="1">
        <v>2</v>
      </c>
      <c r="D187" s="1">
        <v>22831</v>
      </c>
      <c r="E187" s="1" t="s">
        <v>20</v>
      </c>
      <c r="F187" s="1" t="s">
        <v>28</v>
      </c>
      <c r="G187" s="35" t="s">
        <v>230</v>
      </c>
      <c r="H187" s="3">
        <v>0.7</v>
      </c>
      <c r="I187" s="1">
        <f t="shared" si="120"/>
        <v>0</v>
      </c>
      <c r="J187" s="10">
        <f t="shared" si="122"/>
        <v>0</v>
      </c>
      <c r="K187" s="10">
        <f t="shared" si="121"/>
        <v>0</v>
      </c>
      <c r="L187">
        <f t="shared" si="103"/>
        <v>0</v>
      </c>
      <c r="M187" t="e">
        <f t="shared" si="104"/>
        <v>#DIV/0!</v>
      </c>
    </row>
    <row r="188" spans="1:13" outlineLevel="1" x14ac:dyDescent="0.3">
      <c r="A188" s="102"/>
      <c r="B188" s="104"/>
      <c r="C188" s="1">
        <v>2</v>
      </c>
      <c r="D188" s="1">
        <v>22831</v>
      </c>
      <c r="E188" s="1" t="s">
        <v>62</v>
      </c>
      <c r="F188" s="1" t="s">
        <v>28</v>
      </c>
      <c r="G188" s="1" t="s">
        <v>25</v>
      </c>
      <c r="H188" s="3">
        <v>0.3</v>
      </c>
      <c r="I188" s="1">
        <f t="shared" si="120"/>
        <v>0</v>
      </c>
      <c r="J188" s="10">
        <f t="shared" si="122"/>
        <v>0</v>
      </c>
      <c r="K188" s="10">
        <f t="shared" si="121"/>
        <v>0</v>
      </c>
      <c r="L188">
        <f t="shared" si="103"/>
        <v>0</v>
      </c>
      <c r="M188" t="e">
        <f t="shared" si="104"/>
        <v>#DIV/0!</v>
      </c>
    </row>
    <row r="189" spans="1:13" outlineLevel="1" x14ac:dyDescent="0.3">
      <c r="A189" s="101" t="s">
        <v>233</v>
      </c>
      <c r="B189" s="103" t="s">
        <v>7</v>
      </c>
      <c r="C189" s="1">
        <v>4</v>
      </c>
      <c r="D189" s="1">
        <v>22831</v>
      </c>
      <c r="E189" s="1" t="s">
        <v>20</v>
      </c>
      <c r="F189" s="1" t="s">
        <v>28</v>
      </c>
      <c r="G189" s="1" t="s">
        <v>25</v>
      </c>
      <c r="H189" s="3">
        <v>0.7</v>
      </c>
      <c r="I189" s="1">
        <f t="shared" ref="I189:I190" si="128">IF(F189="yes",D189/H189,0)</f>
        <v>0</v>
      </c>
      <c r="J189" s="10">
        <f t="shared" ref="J189:J190" si="129">IF(I189= 0,0,1/I189)</f>
        <v>0</v>
      </c>
      <c r="K189" s="10">
        <f t="shared" ref="K189:K190" si="130">J189*C189</f>
        <v>0</v>
      </c>
      <c r="L189">
        <f t="shared" ref="L189:L190" si="131">IF(F189="yes",1/(D189*365*24*0.000000001),0)</f>
        <v>0</v>
      </c>
      <c r="M189" t="e">
        <f t="shared" ref="M189:M190" si="132">1000000000/(C189*L189*H189*365*24)</f>
        <v>#DIV/0!</v>
      </c>
    </row>
    <row r="190" spans="1:13" outlineLevel="1" x14ac:dyDescent="0.3">
      <c r="A190" s="102"/>
      <c r="B190" s="104"/>
      <c r="C190" s="1">
        <v>4</v>
      </c>
      <c r="D190" s="1">
        <v>22831</v>
      </c>
      <c r="E190" s="1" t="s">
        <v>62</v>
      </c>
      <c r="F190" s="1" t="s">
        <v>28</v>
      </c>
      <c r="G190" s="1" t="s">
        <v>25</v>
      </c>
      <c r="H190" s="3">
        <v>0.3</v>
      </c>
      <c r="I190" s="1">
        <f t="shared" si="128"/>
        <v>0</v>
      </c>
      <c r="J190" s="10">
        <f t="shared" si="129"/>
        <v>0</v>
      </c>
      <c r="K190" s="10">
        <f t="shared" si="130"/>
        <v>0</v>
      </c>
      <c r="L190">
        <f t="shared" si="131"/>
        <v>0</v>
      </c>
      <c r="M190" t="e">
        <f t="shared" si="132"/>
        <v>#DIV/0!</v>
      </c>
    </row>
    <row r="191" spans="1:13" ht="42" outlineLevel="1" x14ac:dyDescent="0.3">
      <c r="A191" s="101" t="s">
        <v>237</v>
      </c>
      <c r="B191" s="103" t="s">
        <v>7</v>
      </c>
      <c r="C191" s="1">
        <v>1</v>
      </c>
      <c r="D191" s="38">
        <v>114155</v>
      </c>
      <c r="E191" s="1" t="s">
        <v>20</v>
      </c>
      <c r="F191" s="1" t="s">
        <v>27</v>
      </c>
      <c r="G191" s="35" t="s">
        <v>79</v>
      </c>
      <c r="H191" s="3">
        <v>0.7</v>
      </c>
      <c r="I191" s="1">
        <f t="shared" si="120"/>
        <v>163078.57142857145</v>
      </c>
      <c r="J191" s="10">
        <f t="shared" si="122"/>
        <v>6.1320134904296781E-6</v>
      </c>
      <c r="K191" s="10">
        <f t="shared" si="121"/>
        <v>6.1320134904296781E-6</v>
      </c>
      <c r="L191">
        <f t="shared" si="103"/>
        <v>1.0000022000048399</v>
      </c>
      <c r="M191">
        <f t="shared" si="104"/>
        <v>163078.57142857148</v>
      </c>
    </row>
    <row r="192" spans="1:13" outlineLevel="1" x14ac:dyDescent="0.3">
      <c r="A192" s="102"/>
      <c r="B192" s="104"/>
      <c r="C192" s="1">
        <v>1</v>
      </c>
      <c r="D192" s="38">
        <v>114155</v>
      </c>
      <c r="E192" s="1" t="s">
        <v>62</v>
      </c>
      <c r="F192" s="1" t="s">
        <v>28</v>
      </c>
      <c r="G192" s="1" t="s">
        <v>25</v>
      </c>
      <c r="H192" s="3">
        <v>0.3</v>
      </c>
      <c r="I192" s="1">
        <f t="shared" si="120"/>
        <v>0</v>
      </c>
      <c r="J192" s="10">
        <f t="shared" si="122"/>
        <v>0</v>
      </c>
      <c r="K192" s="10">
        <f t="shared" si="121"/>
        <v>0</v>
      </c>
      <c r="L192">
        <f t="shared" si="103"/>
        <v>0</v>
      </c>
      <c r="M192" t="e">
        <f t="shared" si="104"/>
        <v>#DIV/0!</v>
      </c>
    </row>
    <row r="193" spans="1:13" ht="56" outlineLevel="1" x14ac:dyDescent="0.3">
      <c r="A193" s="101" t="s">
        <v>236</v>
      </c>
      <c r="B193" s="103" t="s">
        <v>7</v>
      </c>
      <c r="C193" s="1">
        <v>1</v>
      </c>
      <c r="D193" s="38">
        <v>114155</v>
      </c>
      <c r="E193" s="1" t="s">
        <v>20</v>
      </c>
      <c r="F193" s="1" t="s">
        <v>27</v>
      </c>
      <c r="G193" s="35" t="s">
        <v>80</v>
      </c>
      <c r="H193" s="3">
        <v>0.7</v>
      </c>
      <c r="I193" s="1">
        <f t="shared" si="120"/>
        <v>163078.57142857145</v>
      </c>
      <c r="J193" s="10">
        <f t="shared" si="122"/>
        <v>6.1320134904296781E-6</v>
      </c>
      <c r="K193" s="10">
        <f t="shared" si="121"/>
        <v>6.1320134904296781E-6</v>
      </c>
      <c r="L193">
        <f t="shared" si="103"/>
        <v>1.0000022000048399</v>
      </c>
      <c r="M193">
        <f t="shared" si="104"/>
        <v>163078.57142857148</v>
      </c>
    </row>
    <row r="194" spans="1:13" outlineLevel="1" x14ac:dyDescent="0.3">
      <c r="A194" s="102"/>
      <c r="B194" s="104"/>
      <c r="C194" s="1">
        <v>1</v>
      </c>
      <c r="D194" s="38">
        <v>114155</v>
      </c>
      <c r="E194" s="1" t="s">
        <v>62</v>
      </c>
      <c r="F194" s="1" t="s">
        <v>28</v>
      </c>
      <c r="G194" s="1" t="s">
        <v>25</v>
      </c>
      <c r="H194" s="3">
        <v>0.3</v>
      </c>
      <c r="I194" s="1">
        <f t="shared" si="120"/>
        <v>0</v>
      </c>
      <c r="J194" s="10">
        <f t="shared" si="122"/>
        <v>0</v>
      </c>
      <c r="K194" s="10">
        <f t="shared" si="121"/>
        <v>0</v>
      </c>
      <c r="L194">
        <f t="shared" si="103"/>
        <v>0</v>
      </c>
      <c r="M194" t="e">
        <f t="shared" si="104"/>
        <v>#DIV/0!</v>
      </c>
    </row>
    <row r="195" spans="1:13" outlineLevel="1" x14ac:dyDescent="0.3">
      <c r="A195" s="101" t="s">
        <v>238</v>
      </c>
      <c r="B195" s="103" t="s">
        <v>8</v>
      </c>
      <c r="C195" s="1">
        <v>1</v>
      </c>
      <c r="D195" s="1">
        <v>22831</v>
      </c>
      <c r="E195" s="1" t="s">
        <v>20</v>
      </c>
      <c r="F195" s="1" t="s">
        <v>28</v>
      </c>
      <c r="G195" s="1" t="s">
        <v>25</v>
      </c>
      <c r="H195" s="3">
        <v>0.5</v>
      </c>
      <c r="I195" s="1">
        <f t="shared" si="120"/>
        <v>0</v>
      </c>
      <c r="J195" s="10">
        <f t="shared" si="122"/>
        <v>0</v>
      </c>
      <c r="K195" s="10">
        <f t="shared" si="121"/>
        <v>0</v>
      </c>
      <c r="L195">
        <f t="shared" si="103"/>
        <v>0</v>
      </c>
      <c r="M195" t="e">
        <f t="shared" si="104"/>
        <v>#DIV/0!</v>
      </c>
    </row>
    <row r="196" spans="1:13" ht="42" outlineLevel="1" x14ac:dyDescent="0.3">
      <c r="A196" s="102"/>
      <c r="B196" s="104"/>
      <c r="C196" s="1">
        <v>1</v>
      </c>
      <c r="D196" s="1">
        <v>22831</v>
      </c>
      <c r="E196" s="1" t="s">
        <v>29</v>
      </c>
      <c r="F196" s="1" t="s">
        <v>27</v>
      </c>
      <c r="G196" s="35" t="s">
        <v>81</v>
      </c>
      <c r="H196" s="3">
        <v>0.5</v>
      </c>
      <c r="I196" s="1">
        <f t="shared" si="120"/>
        <v>45662</v>
      </c>
      <c r="J196" s="10">
        <f t="shared" si="122"/>
        <v>2.1900048180105996E-5</v>
      </c>
      <c r="K196" s="10">
        <f t="shared" si="121"/>
        <v>2.1900048180105996E-5</v>
      </c>
      <c r="L196">
        <f t="shared" si="103"/>
        <v>5.0000110000242</v>
      </c>
      <c r="M196">
        <f t="shared" si="104"/>
        <v>45662.000000000007</v>
      </c>
    </row>
    <row r="197" spans="1:13" ht="28" outlineLevel="1" x14ac:dyDescent="0.3">
      <c r="A197" s="11" t="s">
        <v>235</v>
      </c>
      <c r="B197" s="1" t="s">
        <v>82</v>
      </c>
      <c r="C197" s="1">
        <v>1</v>
      </c>
      <c r="D197" s="1">
        <v>19344.88</v>
      </c>
      <c r="E197" s="1" t="s">
        <v>73</v>
      </c>
      <c r="F197" s="1" t="s">
        <v>27</v>
      </c>
      <c r="G197" s="35" t="s">
        <v>83</v>
      </c>
      <c r="H197" s="3">
        <v>1</v>
      </c>
      <c r="I197" s="1">
        <f t="shared" si="120"/>
        <v>19344.88</v>
      </c>
      <c r="J197" s="10">
        <f t="shared" si="122"/>
        <v>5.1693264574399012E-5</v>
      </c>
      <c r="K197" s="10">
        <f t="shared" si="121"/>
        <v>5.1693264574399012E-5</v>
      </c>
      <c r="L197">
        <f t="shared" si="103"/>
        <v>5.9010575998172383</v>
      </c>
      <c r="M197">
        <f t="shared" si="104"/>
        <v>19344.88</v>
      </c>
    </row>
    <row r="198" spans="1:13" outlineLevel="1" x14ac:dyDescent="0.3">
      <c r="A198" s="116"/>
      <c r="B198" s="117"/>
      <c r="C198" s="117"/>
      <c r="D198" s="117"/>
      <c r="E198" s="117"/>
      <c r="F198" s="117"/>
      <c r="G198" s="117"/>
      <c r="H198" s="117"/>
      <c r="I198" s="117"/>
      <c r="J198" s="117"/>
      <c r="K198" s="118"/>
      <c r="L198">
        <f t="shared" si="103"/>
        <v>0</v>
      </c>
      <c r="M198" t="e">
        <f t="shared" si="104"/>
        <v>#DIV/0!</v>
      </c>
    </row>
    <row r="199" spans="1:13" outlineLevel="1" x14ac:dyDescent="0.3">
      <c r="A199" s="101" t="s">
        <v>239</v>
      </c>
      <c r="B199" s="103" t="s">
        <v>9</v>
      </c>
      <c r="C199" s="1">
        <v>1</v>
      </c>
      <c r="D199" s="1">
        <v>114155</v>
      </c>
      <c r="E199" s="1" t="s">
        <v>20</v>
      </c>
      <c r="F199" s="1" t="s">
        <v>27</v>
      </c>
      <c r="G199" s="1" t="s">
        <v>84</v>
      </c>
      <c r="H199" s="3">
        <v>0.5</v>
      </c>
      <c r="I199" s="1">
        <f t="shared" ref="I199:I216" si="133">IF(F199="yes",D199/H199,0)</f>
        <v>228310</v>
      </c>
      <c r="J199" s="10">
        <f t="shared" si="122"/>
        <v>4.3800096360211989E-6</v>
      </c>
      <c r="K199" s="10">
        <f t="shared" ref="K199:K216" si="134">J199*C199</f>
        <v>4.3800096360211989E-6</v>
      </c>
      <c r="L199">
        <f t="shared" si="103"/>
        <v>1.0000022000048399</v>
      </c>
      <c r="M199">
        <f t="shared" si="104"/>
        <v>228310.00000000006</v>
      </c>
    </row>
    <row r="200" spans="1:13" outlineLevel="1" x14ac:dyDescent="0.3">
      <c r="A200" s="102"/>
      <c r="B200" s="104"/>
      <c r="C200" s="1">
        <v>1</v>
      </c>
      <c r="D200" s="1">
        <v>114155</v>
      </c>
      <c r="E200" s="1" t="s">
        <v>29</v>
      </c>
      <c r="F200" s="1" t="s">
        <v>28</v>
      </c>
      <c r="G200" s="1" t="s">
        <v>25</v>
      </c>
      <c r="H200" s="3">
        <v>0.5</v>
      </c>
      <c r="I200" s="1">
        <f t="shared" si="133"/>
        <v>0</v>
      </c>
      <c r="J200" s="10">
        <f t="shared" si="122"/>
        <v>0</v>
      </c>
      <c r="K200" s="10">
        <f t="shared" si="134"/>
        <v>0</v>
      </c>
      <c r="L200">
        <f t="shared" si="103"/>
        <v>0</v>
      </c>
      <c r="M200" t="e">
        <f t="shared" si="104"/>
        <v>#DIV/0!</v>
      </c>
    </row>
    <row r="201" spans="1:13" outlineLevel="1" x14ac:dyDescent="0.3">
      <c r="A201" s="101" t="s">
        <v>242</v>
      </c>
      <c r="B201" s="103" t="s">
        <v>8</v>
      </c>
      <c r="C201" s="1">
        <v>1</v>
      </c>
      <c r="D201" s="1">
        <v>22831</v>
      </c>
      <c r="E201" s="1" t="s">
        <v>20</v>
      </c>
      <c r="F201" s="1" t="s">
        <v>28</v>
      </c>
      <c r="G201" s="1" t="s">
        <v>25</v>
      </c>
      <c r="H201" s="3">
        <v>0.5</v>
      </c>
      <c r="I201" s="1">
        <f t="shared" si="133"/>
        <v>0</v>
      </c>
      <c r="J201" s="10">
        <f t="shared" si="122"/>
        <v>0</v>
      </c>
      <c r="K201" s="10">
        <f t="shared" si="134"/>
        <v>0</v>
      </c>
      <c r="L201">
        <f t="shared" si="103"/>
        <v>0</v>
      </c>
      <c r="M201" t="e">
        <f t="shared" si="104"/>
        <v>#DIV/0!</v>
      </c>
    </row>
    <row r="202" spans="1:13" ht="28" outlineLevel="1" x14ac:dyDescent="0.3">
      <c r="A202" s="102"/>
      <c r="B202" s="104"/>
      <c r="C202" s="1">
        <v>1</v>
      </c>
      <c r="D202" s="1">
        <v>22831</v>
      </c>
      <c r="E202" s="1" t="s">
        <v>29</v>
      </c>
      <c r="F202" s="1" t="s">
        <v>27</v>
      </c>
      <c r="G202" s="35" t="s">
        <v>85</v>
      </c>
      <c r="H202" s="3">
        <v>0.5</v>
      </c>
      <c r="I202" s="1">
        <f t="shared" si="133"/>
        <v>45662</v>
      </c>
      <c r="J202" s="10">
        <f t="shared" si="122"/>
        <v>2.1900048180105996E-5</v>
      </c>
      <c r="K202" s="10">
        <f t="shared" si="134"/>
        <v>2.1900048180105996E-5</v>
      </c>
      <c r="L202">
        <f t="shared" si="103"/>
        <v>5.0000110000242</v>
      </c>
      <c r="M202">
        <f t="shared" si="104"/>
        <v>45662.000000000007</v>
      </c>
    </row>
    <row r="203" spans="1:13" outlineLevel="1" x14ac:dyDescent="0.3">
      <c r="A203" s="101" t="s">
        <v>243</v>
      </c>
      <c r="B203" s="103" t="s">
        <v>7</v>
      </c>
      <c r="C203" s="1">
        <v>1</v>
      </c>
      <c r="D203" s="1">
        <v>114155</v>
      </c>
      <c r="E203" s="1" t="s">
        <v>20</v>
      </c>
      <c r="F203" s="1" t="s">
        <v>28</v>
      </c>
      <c r="G203" s="1" t="s">
        <v>25</v>
      </c>
      <c r="H203" s="3">
        <v>0.7</v>
      </c>
      <c r="I203" s="1">
        <f t="shared" si="133"/>
        <v>0</v>
      </c>
      <c r="J203" s="10">
        <f t="shared" si="122"/>
        <v>0</v>
      </c>
      <c r="K203" s="10">
        <f t="shared" si="134"/>
        <v>0</v>
      </c>
      <c r="L203">
        <f t="shared" si="103"/>
        <v>0</v>
      </c>
      <c r="M203" t="e">
        <f t="shared" si="104"/>
        <v>#DIV/0!</v>
      </c>
    </row>
    <row r="204" spans="1:13" outlineLevel="1" x14ac:dyDescent="0.3">
      <c r="A204" s="102"/>
      <c r="B204" s="104"/>
      <c r="C204" s="1">
        <v>1</v>
      </c>
      <c r="D204" s="1">
        <v>114155</v>
      </c>
      <c r="E204" s="1" t="s">
        <v>62</v>
      </c>
      <c r="F204" s="1" t="s">
        <v>28</v>
      </c>
      <c r="G204" s="1" t="s">
        <v>25</v>
      </c>
      <c r="H204" s="3">
        <v>0.3</v>
      </c>
      <c r="I204" s="1">
        <f t="shared" si="133"/>
        <v>0</v>
      </c>
      <c r="J204" s="10">
        <f t="shared" si="122"/>
        <v>0</v>
      </c>
      <c r="K204" s="10">
        <f t="shared" si="134"/>
        <v>0</v>
      </c>
      <c r="L204">
        <f t="shared" si="103"/>
        <v>0</v>
      </c>
      <c r="M204" t="e">
        <f t="shared" si="104"/>
        <v>#DIV/0!</v>
      </c>
    </row>
    <row r="205" spans="1:13" outlineLevel="1" x14ac:dyDescent="0.3">
      <c r="A205" s="101" t="s">
        <v>244</v>
      </c>
      <c r="B205" s="103" t="s">
        <v>7</v>
      </c>
      <c r="C205" s="1">
        <v>1</v>
      </c>
      <c r="D205" s="1">
        <v>114155</v>
      </c>
      <c r="E205" s="1" t="s">
        <v>20</v>
      </c>
      <c r="F205" s="1" t="s">
        <v>28</v>
      </c>
      <c r="G205" s="1" t="s">
        <v>25</v>
      </c>
      <c r="H205" s="3">
        <v>0.7</v>
      </c>
      <c r="I205" s="1">
        <f t="shared" ref="I205:I206" si="135">IF(F205="yes",D205/H205,0)</f>
        <v>0</v>
      </c>
      <c r="J205" s="10">
        <f t="shared" ref="J205:J206" si="136">IF(I205= 0,0,1/I205)</f>
        <v>0</v>
      </c>
      <c r="K205" s="10">
        <f t="shared" ref="K205:K206" si="137">J205*C205</f>
        <v>0</v>
      </c>
      <c r="L205">
        <f t="shared" ref="L205:L206" si="138">IF(F205="yes",1/(D205*365*24*0.000000001),0)</f>
        <v>0</v>
      </c>
      <c r="M205" t="e">
        <f t="shared" ref="M205:M206" si="139">1000000000/(C205*L205*H205*365*24)</f>
        <v>#DIV/0!</v>
      </c>
    </row>
    <row r="206" spans="1:13" outlineLevel="1" x14ac:dyDescent="0.3">
      <c r="A206" s="102"/>
      <c r="B206" s="104"/>
      <c r="C206" s="1">
        <v>1</v>
      </c>
      <c r="D206" s="1">
        <v>114155</v>
      </c>
      <c r="E206" s="1" t="s">
        <v>62</v>
      </c>
      <c r="F206" s="1" t="s">
        <v>28</v>
      </c>
      <c r="G206" s="1" t="s">
        <v>25</v>
      </c>
      <c r="H206" s="3">
        <v>0.3</v>
      </c>
      <c r="I206" s="1">
        <f t="shared" si="135"/>
        <v>0</v>
      </c>
      <c r="J206" s="10">
        <f t="shared" si="136"/>
        <v>0</v>
      </c>
      <c r="K206" s="10">
        <f t="shared" si="137"/>
        <v>0</v>
      </c>
      <c r="L206">
        <f t="shared" si="138"/>
        <v>0</v>
      </c>
      <c r="M206" t="e">
        <f t="shared" si="139"/>
        <v>#DIV/0!</v>
      </c>
    </row>
    <row r="207" spans="1:13" ht="28" outlineLevel="1" x14ac:dyDescent="0.3">
      <c r="A207" s="101" t="s">
        <v>240</v>
      </c>
      <c r="B207" s="103" t="s">
        <v>37</v>
      </c>
      <c r="C207" s="1">
        <v>1</v>
      </c>
      <c r="D207" s="1">
        <v>22831</v>
      </c>
      <c r="E207" s="1" t="s">
        <v>38</v>
      </c>
      <c r="F207" s="1" t="s">
        <v>27</v>
      </c>
      <c r="G207" s="35" t="s">
        <v>86</v>
      </c>
      <c r="H207" s="36">
        <v>0.16700000000000001</v>
      </c>
      <c r="I207" s="1">
        <f t="shared" si="133"/>
        <v>136712.5748502994</v>
      </c>
      <c r="J207" s="10">
        <f t="shared" si="122"/>
        <v>7.3146160921554032E-6</v>
      </c>
      <c r="K207" s="10">
        <f t="shared" si="134"/>
        <v>7.3146160921554032E-6</v>
      </c>
      <c r="L207">
        <f t="shared" si="103"/>
        <v>5.0000110000242</v>
      </c>
      <c r="M207">
        <f t="shared" si="104"/>
        <v>136712.5748502994</v>
      </c>
    </row>
    <row r="208" spans="1:13" ht="28" outlineLevel="1" x14ac:dyDescent="0.3">
      <c r="A208" s="115"/>
      <c r="B208" s="114"/>
      <c r="C208" s="1">
        <v>1</v>
      </c>
      <c r="D208" s="1">
        <v>22831</v>
      </c>
      <c r="E208" s="1" t="s">
        <v>39</v>
      </c>
      <c r="F208" s="1" t="s">
        <v>27</v>
      </c>
      <c r="G208" s="35" t="s">
        <v>86</v>
      </c>
      <c r="H208" s="36">
        <v>0.16700000000000001</v>
      </c>
      <c r="I208" s="1">
        <f t="shared" si="133"/>
        <v>136712.5748502994</v>
      </c>
      <c r="J208" s="10">
        <f t="shared" si="122"/>
        <v>7.3146160921554032E-6</v>
      </c>
      <c r="K208" s="10">
        <f t="shared" si="134"/>
        <v>7.3146160921554032E-6</v>
      </c>
      <c r="L208">
        <f t="shared" si="103"/>
        <v>5.0000110000242</v>
      </c>
      <c r="M208">
        <f t="shared" si="104"/>
        <v>136712.5748502994</v>
      </c>
    </row>
    <row r="209" spans="1:13" ht="28" outlineLevel="1" x14ac:dyDescent="0.3">
      <c r="A209" s="115"/>
      <c r="B209" s="114"/>
      <c r="C209" s="1">
        <v>1</v>
      </c>
      <c r="D209" s="1">
        <v>22831</v>
      </c>
      <c r="E209" s="1" t="s">
        <v>40</v>
      </c>
      <c r="F209" s="1" t="s">
        <v>27</v>
      </c>
      <c r="G209" s="35" t="s">
        <v>86</v>
      </c>
      <c r="H209" s="36">
        <v>0.16700000000000001</v>
      </c>
      <c r="I209" s="1">
        <f t="shared" si="133"/>
        <v>136712.5748502994</v>
      </c>
      <c r="J209" s="10">
        <f t="shared" si="122"/>
        <v>7.3146160921554032E-6</v>
      </c>
      <c r="K209" s="10">
        <f t="shared" si="134"/>
        <v>7.3146160921554032E-6</v>
      </c>
      <c r="L209">
        <f t="shared" si="103"/>
        <v>5.0000110000242</v>
      </c>
      <c r="M209">
        <f t="shared" si="104"/>
        <v>136712.5748502994</v>
      </c>
    </row>
    <row r="210" spans="1:13" ht="28" outlineLevel="1" x14ac:dyDescent="0.3">
      <c r="A210" s="115"/>
      <c r="B210" s="114"/>
      <c r="C210" s="1">
        <v>1</v>
      </c>
      <c r="D210" s="1">
        <v>22831</v>
      </c>
      <c r="E210" s="1" t="s">
        <v>41</v>
      </c>
      <c r="F210" s="1" t="s">
        <v>28</v>
      </c>
      <c r="G210" s="35" t="s">
        <v>87</v>
      </c>
      <c r="H210" s="36">
        <v>0.16700000000000001</v>
      </c>
      <c r="I210" s="1">
        <f t="shared" si="133"/>
        <v>0</v>
      </c>
      <c r="J210" s="10">
        <f t="shared" si="122"/>
        <v>0</v>
      </c>
      <c r="K210" s="10">
        <f t="shared" si="134"/>
        <v>0</v>
      </c>
      <c r="L210">
        <f t="shared" si="103"/>
        <v>0</v>
      </c>
      <c r="M210" t="e">
        <f t="shared" si="104"/>
        <v>#DIV/0!</v>
      </c>
    </row>
    <row r="211" spans="1:13" ht="28" outlineLevel="1" x14ac:dyDescent="0.3">
      <c r="A211" s="115"/>
      <c r="B211" s="114"/>
      <c r="C211" s="1">
        <v>1</v>
      </c>
      <c r="D211" s="1">
        <v>22831</v>
      </c>
      <c r="E211" s="1" t="s">
        <v>42</v>
      </c>
      <c r="F211" s="1" t="s">
        <v>27</v>
      </c>
      <c r="G211" s="35" t="s">
        <v>86</v>
      </c>
      <c r="H211" s="36">
        <v>0.16700000000000001</v>
      </c>
      <c r="I211" s="1">
        <f t="shared" si="133"/>
        <v>136712.5748502994</v>
      </c>
      <c r="J211" s="10">
        <f t="shared" si="122"/>
        <v>7.3146160921554032E-6</v>
      </c>
      <c r="K211" s="10">
        <f t="shared" si="134"/>
        <v>7.3146160921554032E-6</v>
      </c>
      <c r="L211">
        <f t="shared" si="103"/>
        <v>5.0000110000242</v>
      </c>
      <c r="M211">
        <f t="shared" si="104"/>
        <v>136712.5748502994</v>
      </c>
    </row>
    <row r="212" spans="1:13" ht="28" outlineLevel="1" x14ac:dyDescent="0.3">
      <c r="A212" s="102"/>
      <c r="B212" s="104"/>
      <c r="C212" s="1">
        <v>1</v>
      </c>
      <c r="D212" s="1">
        <v>22831</v>
      </c>
      <c r="E212" s="1" t="s">
        <v>43</v>
      </c>
      <c r="F212" s="1" t="s">
        <v>27</v>
      </c>
      <c r="G212" s="35" t="s">
        <v>86</v>
      </c>
      <c r="H212" s="36">
        <v>0.16700000000000001</v>
      </c>
      <c r="I212" s="1">
        <f t="shared" si="133"/>
        <v>136712.5748502994</v>
      </c>
      <c r="J212" s="10">
        <f t="shared" si="122"/>
        <v>7.3146160921554032E-6</v>
      </c>
      <c r="K212" s="10">
        <f t="shared" si="134"/>
        <v>7.3146160921554032E-6</v>
      </c>
      <c r="L212">
        <f t="shared" si="103"/>
        <v>5.0000110000242</v>
      </c>
      <c r="M212">
        <f t="shared" si="104"/>
        <v>136712.5748502994</v>
      </c>
    </row>
    <row r="213" spans="1:13" outlineLevel="1" x14ac:dyDescent="0.3">
      <c r="A213" s="101" t="s">
        <v>241</v>
      </c>
      <c r="B213" s="103" t="s">
        <v>125</v>
      </c>
      <c r="C213" s="1">
        <v>1</v>
      </c>
      <c r="D213" s="1">
        <v>100</v>
      </c>
      <c r="E213" s="1" t="s">
        <v>20</v>
      </c>
      <c r="F213" s="1" t="s">
        <v>28</v>
      </c>
      <c r="G213" s="1" t="s">
        <v>25</v>
      </c>
      <c r="H213" s="3">
        <v>0.5</v>
      </c>
      <c r="I213" s="1">
        <f t="shared" si="133"/>
        <v>0</v>
      </c>
      <c r="J213" s="10">
        <f t="shared" si="122"/>
        <v>0</v>
      </c>
      <c r="K213" s="10">
        <f t="shared" si="134"/>
        <v>0</v>
      </c>
      <c r="L213">
        <f t="shared" si="103"/>
        <v>0</v>
      </c>
      <c r="M213" t="e">
        <f t="shared" si="104"/>
        <v>#DIV/0!</v>
      </c>
    </row>
    <row r="214" spans="1:13" ht="28" outlineLevel="1" x14ac:dyDescent="0.3">
      <c r="A214" s="102"/>
      <c r="B214" s="104"/>
      <c r="C214" s="1">
        <v>1</v>
      </c>
      <c r="D214" s="1">
        <v>16308</v>
      </c>
      <c r="E214" s="1" t="s">
        <v>29</v>
      </c>
      <c r="F214" s="1" t="s">
        <v>27</v>
      </c>
      <c r="G214" s="35" t="s">
        <v>88</v>
      </c>
      <c r="H214" s="3">
        <v>0.5</v>
      </c>
      <c r="I214" s="1">
        <f t="shared" si="133"/>
        <v>32616</v>
      </c>
      <c r="J214" s="10">
        <f t="shared" si="122"/>
        <v>3.0659798871719399E-5</v>
      </c>
      <c r="K214" s="10">
        <f t="shared" si="134"/>
        <v>3.0659798871719399E-5</v>
      </c>
      <c r="L214">
        <f t="shared" si="103"/>
        <v>6.999954080301233</v>
      </c>
      <c r="M214">
        <f t="shared" si="104"/>
        <v>32616</v>
      </c>
    </row>
    <row r="215" spans="1:13" outlineLevel="1" x14ac:dyDescent="0.3">
      <c r="A215" s="101" t="s">
        <v>131</v>
      </c>
      <c r="B215" s="103" t="s">
        <v>89</v>
      </c>
      <c r="C215" s="1">
        <v>1</v>
      </c>
      <c r="D215" s="1">
        <v>1956160</v>
      </c>
      <c r="E215" s="1" t="s">
        <v>29</v>
      </c>
      <c r="F215" s="1" t="s">
        <v>145</v>
      </c>
      <c r="G215" s="1" t="s">
        <v>90</v>
      </c>
      <c r="H215" s="3">
        <v>0.5</v>
      </c>
      <c r="I215" s="1">
        <f>IF(F215="yes",D215/H215,0)</f>
        <v>3912320</v>
      </c>
      <c r="J215" s="10">
        <f t="shared" si="122"/>
        <v>2.5560281367577292E-7</v>
      </c>
      <c r="K215" s="10">
        <f t="shared" si="134"/>
        <v>2.5560281367577292E-7</v>
      </c>
      <c r="L215">
        <f t="shared" si="103"/>
        <v>5.8356806775290621E-2</v>
      </c>
      <c r="M215">
        <f t="shared" si="104"/>
        <v>3912320</v>
      </c>
    </row>
    <row r="216" spans="1:13" outlineLevel="1" x14ac:dyDescent="0.3">
      <c r="A216" s="102"/>
      <c r="B216" s="104"/>
      <c r="C216" s="1">
        <v>1</v>
      </c>
      <c r="D216" s="1">
        <v>1956160</v>
      </c>
      <c r="E216" s="1" t="s">
        <v>20</v>
      </c>
      <c r="F216" s="1" t="s">
        <v>28</v>
      </c>
      <c r="G216" s="1" t="s">
        <v>91</v>
      </c>
      <c r="H216" s="3">
        <v>0.5</v>
      </c>
      <c r="I216" s="1">
        <f t="shared" si="133"/>
        <v>0</v>
      </c>
      <c r="J216" s="10">
        <f t="shared" si="122"/>
        <v>0</v>
      </c>
      <c r="K216" s="10">
        <f t="shared" si="134"/>
        <v>0</v>
      </c>
      <c r="L216">
        <f t="shared" si="103"/>
        <v>0</v>
      </c>
    </row>
    <row r="217" spans="1:13" outlineLevel="1" x14ac:dyDescent="0.3">
      <c r="A217" s="11"/>
      <c r="B217" s="1"/>
      <c r="C217" s="1"/>
      <c r="D217" s="1"/>
      <c r="E217" s="1"/>
      <c r="F217" s="1"/>
      <c r="G217" s="1"/>
      <c r="H217" s="3"/>
      <c r="I217" s="3"/>
      <c r="J217" s="3"/>
      <c r="K217" s="12">
        <f>1/SUM(K119:K216)</f>
        <v>318.16567728401606</v>
      </c>
    </row>
    <row r="221" spans="1:13" x14ac:dyDescent="0.3">
      <c r="B221" s="2" t="s">
        <v>0</v>
      </c>
      <c r="C221" s="23">
        <f>1/((1/K10)+(1/K54)+(1/K116))</f>
        <v>148.74318439132367</v>
      </c>
      <c r="D221" s="2">
        <f>IF(C221&gt;100,100,C221)</f>
        <v>100</v>
      </c>
    </row>
    <row r="222" spans="1:13" x14ac:dyDescent="0.3">
      <c r="B222" s="2" t="s">
        <v>17</v>
      </c>
      <c r="C222" s="2">
        <f>K217</f>
        <v>318.16567728401606</v>
      </c>
      <c r="D222" s="2">
        <f>IF(C222&gt;100,100,C222)</f>
        <v>100</v>
      </c>
    </row>
    <row r="223" spans="1:13" x14ac:dyDescent="0.3">
      <c r="B223" s="2" t="s">
        <v>18</v>
      </c>
      <c r="C223" s="2">
        <f>2*(D221+D222-1/(1/D221+1/D222))/3</f>
        <v>100</v>
      </c>
      <c r="D223" s="2"/>
    </row>
    <row r="224" spans="1:13" x14ac:dyDescent="0.3">
      <c r="B224" t="s">
        <v>96</v>
      </c>
      <c r="C224">
        <f>(N10+N54+N116)/(L10+L54+L116)</f>
        <v>0.84863840646167332</v>
      </c>
    </row>
  </sheetData>
  <mergeCells count="161">
    <mergeCell ref="A22:A23"/>
    <mergeCell ref="B22:B23"/>
    <mergeCell ref="A16:A17"/>
    <mergeCell ref="B16:B17"/>
    <mergeCell ref="A20:A21"/>
    <mergeCell ref="B20:B21"/>
    <mergeCell ref="A28:A29"/>
    <mergeCell ref="B28:B29"/>
    <mergeCell ref="A36:A41"/>
    <mergeCell ref="B36:B41"/>
    <mergeCell ref="A164:A165"/>
    <mergeCell ref="B164:B165"/>
    <mergeCell ref="A154:A155"/>
    <mergeCell ref="B154:B155"/>
    <mergeCell ref="A95:A100"/>
    <mergeCell ref="B95:B100"/>
    <mergeCell ref="A77:A78"/>
    <mergeCell ref="B77:B78"/>
    <mergeCell ref="A101:A102"/>
    <mergeCell ref="B101:B102"/>
    <mergeCell ref="A107:A108"/>
    <mergeCell ref="B107:B108"/>
    <mergeCell ref="A109:A110"/>
    <mergeCell ref="B109:B110"/>
    <mergeCell ref="B81:B86"/>
    <mergeCell ref="A81:A86"/>
    <mergeCell ref="B87:B88"/>
    <mergeCell ref="A87:A88"/>
    <mergeCell ref="A89:A94"/>
    <mergeCell ref="B89:B94"/>
    <mergeCell ref="A119:A120"/>
    <mergeCell ref="B119:B120"/>
    <mergeCell ref="B121:B122"/>
    <mergeCell ref="A121:A122"/>
    <mergeCell ref="A2:K2"/>
    <mergeCell ref="A1:K1"/>
    <mergeCell ref="A11:K11"/>
    <mergeCell ref="A55:K55"/>
    <mergeCell ref="A117:K117"/>
    <mergeCell ref="A4:A5"/>
    <mergeCell ref="B4:B5"/>
    <mergeCell ref="A6:A7"/>
    <mergeCell ref="B6:B7"/>
    <mergeCell ref="A8:A9"/>
    <mergeCell ref="B8:B9"/>
    <mergeCell ref="A26:A27"/>
    <mergeCell ref="B26:B27"/>
    <mergeCell ref="A30:A31"/>
    <mergeCell ref="B30:B31"/>
    <mergeCell ref="A32:A33"/>
    <mergeCell ref="B32:B33"/>
    <mergeCell ref="A14:A15"/>
    <mergeCell ref="B14:B15"/>
    <mergeCell ref="A18:A19"/>
    <mergeCell ref="B18:B19"/>
    <mergeCell ref="A24:A25"/>
    <mergeCell ref="B24:B25"/>
    <mergeCell ref="A52:A53"/>
    <mergeCell ref="B52:B53"/>
    <mergeCell ref="A34:A35"/>
    <mergeCell ref="B34:B35"/>
    <mergeCell ref="A42:A47"/>
    <mergeCell ref="B42:B47"/>
    <mergeCell ref="A50:A51"/>
    <mergeCell ref="B50:B51"/>
    <mergeCell ref="A48:A49"/>
    <mergeCell ref="B48:B49"/>
    <mergeCell ref="A71:A72"/>
    <mergeCell ref="B71:B72"/>
    <mergeCell ref="A79:A80"/>
    <mergeCell ref="B79:B80"/>
    <mergeCell ref="A57:A58"/>
    <mergeCell ref="B57:B58"/>
    <mergeCell ref="A59:A64"/>
    <mergeCell ref="B59:B64"/>
    <mergeCell ref="B65:B70"/>
    <mergeCell ref="A65:A70"/>
    <mergeCell ref="A73:A74"/>
    <mergeCell ref="B73:B74"/>
    <mergeCell ref="A75:A76"/>
    <mergeCell ref="B75:B76"/>
    <mergeCell ref="A123:A124"/>
    <mergeCell ref="B123:B124"/>
    <mergeCell ref="A112:A113"/>
    <mergeCell ref="B112:B113"/>
    <mergeCell ref="A103:A104"/>
    <mergeCell ref="B103:B104"/>
    <mergeCell ref="A114:A115"/>
    <mergeCell ref="B114:B115"/>
    <mergeCell ref="A105:A106"/>
    <mergeCell ref="B105:B106"/>
    <mergeCell ref="A137:A138"/>
    <mergeCell ref="B137:B138"/>
    <mergeCell ref="B139:B144"/>
    <mergeCell ref="A139:A144"/>
    <mergeCell ref="A145:A146"/>
    <mergeCell ref="B145:B146"/>
    <mergeCell ref="A125:A126"/>
    <mergeCell ref="B125:B126"/>
    <mergeCell ref="A127:A128"/>
    <mergeCell ref="B127:B128"/>
    <mergeCell ref="B131:B136"/>
    <mergeCell ref="A131:A136"/>
    <mergeCell ref="A129:A130"/>
    <mergeCell ref="B129:B130"/>
    <mergeCell ref="B158:B159"/>
    <mergeCell ref="B162:B163"/>
    <mergeCell ref="A162:A163"/>
    <mergeCell ref="A147:A148"/>
    <mergeCell ref="B147:B148"/>
    <mergeCell ref="A149:A150"/>
    <mergeCell ref="B149:B150"/>
    <mergeCell ref="A152:A153"/>
    <mergeCell ref="B152:B153"/>
    <mergeCell ref="A160:A161"/>
    <mergeCell ref="B160:B161"/>
    <mergeCell ref="B193:B194"/>
    <mergeCell ref="A193:A194"/>
    <mergeCell ref="B195:B196"/>
    <mergeCell ref="A195:A196"/>
    <mergeCell ref="B199:B200"/>
    <mergeCell ref="A199:A200"/>
    <mergeCell ref="A198:K198"/>
    <mergeCell ref="B191:B192"/>
    <mergeCell ref="A191:A192"/>
    <mergeCell ref="A213:A214"/>
    <mergeCell ref="B213:B214"/>
    <mergeCell ref="A215:A216"/>
    <mergeCell ref="B215:B216"/>
    <mergeCell ref="B201:B202"/>
    <mergeCell ref="A201:A202"/>
    <mergeCell ref="A203:A204"/>
    <mergeCell ref="B203:B204"/>
    <mergeCell ref="B207:B212"/>
    <mergeCell ref="A207:A212"/>
    <mergeCell ref="A205:A206"/>
    <mergeCell ref="B205:B206"/>
    <mergeCell ref="A189:A190"/>
    <mergeCell ref="B189:B190"/>
    <mergeCell ref="A156:A157"/>
    <mergeCell ref="B156:B157"/>
    <mergeCell ref="A166:A167"/>
    <mergeCell ref="B166:B167"/>
    <mergeCell ref="A170:A171"/>
    <mergeCell ref="B170:B171"/>
    <mergeCell ref="A185:A186"/>
    <mergeCell ref="B185:B186"/>
    <mergeCell ref="A180:A181"/>
    <mergeCell ref="B180:B181"/>
    <mergeCell ref="B183:B184"/>
    <mergeCell ref="A183:A184"/>
    <mergeCell ref="A187:A188"/>
    <mergeCell ref="B187:B188"/>
    <mergeCell ref="A178:A179"/>
    <mergeCell ref="B178:B179"/>
    <mergeCell ref="A172:A173"/>
    <mergeCell ref="B172:B173"/>
    <mergeCell ref="A174:A175"/>
    <mergeCell ref="B174:B175"/>
    <mergeCell ref="A176:K176"/>
    <mergeCell ref="A158:A159"/>
  </mergeCells>
  <phoneticPr fontId="2" type="noConversion"/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1"/>
  <sheetViews>
    <sheetView showGridLines="0" topLeftCell="A234" zoomScaleNormal="100" workbookViewId="0">
      <selection activeCell="C258" sqref="C258"/>
    </sheetView>
  </sheetViews>
  <sheetFormatPr defaultRowHeight="14" outlineLevelRow="4" x14ac:dyDescent="0.3"/>
  <cols>
    <col min="1" max="1" width="41.58203125" customWidth="1"/>
    <col min="2" max="2" width="17.25" customWidth="1"/>
    <col min="3" max="3" width="20.33203125" customWidth="1"/>
    <col min="4" max="7" width="22.75" customWidth="1"/>
    <col min="8" max="10" width="26.75" customWidth="1"/>
    <col min="11" max="11" width="29.08203125" customWidth="1"/>
    <col min="12" max="12" width="12" bestFit="1" customWidth="1"/>
    <col min="14" max="14" width="12" bestFit="1" customWidth="1"/>
  </cols>
  <sheetData>
    <row r="1" spans="1:14" ht="33.75" customHeight="1" x14ac:dyDescent="0.3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4" ht="17.5" outlineLevel="1" x14ac:dyDescent="0.35">
      <c r="A2" s="127" t="s">
        <v>1</v>
      </c>
      <c r="B2" s="128"/>
      <c r="C2" s="128"/>
      <c r="D2" s="128"/>
      <c r="E2" s="128"/>
      <c r="F2" s="128"/>
      <c r="G2" s="128"/>
      <c r="H2" s="128"/>
      <c r="I2" s="128"/>
      <c r="J2" s="128"/>
      <c r="K2" s="129"/>
    </row>
    <row r="3" spans="1:14" outlineLevel="2" x14ac:dyDescent="0.3">
      <c r="A3" s="31" t="s">
        <v>13</v>
      </c>
      <c r="B3" s="32" t="s">
        <v>4</v>
      </c>
      <c r="C3" s="32" t="s">
        <v>5</v>
      </c>
      <c r="D3" s="32" t="s">
        <v>12</v>
      </c>
      <c r="E3" s="32" t="s">
        <v>19</v>
      </c>
      <c r="F3" s="32" t="s">
        <v>26</v>
      </c>
      <c r="G3" s="32" t="s">
        <v>21</v>
      </c>
      <c r="H3" s="32" t="s">
        <v>6</v>
      </c>
      <c r="I3" s="32" t="s">
        <v>14</v>
      </c>
      <c r="J3" s="32" t="s">
        <v>15</v>
      </c>
      <c r="K3" s="33" t="s">
        <v>16</v>
      </c>
    </row>
    <row r="4" spans="1:14" outlineLevel="2" x14ac:dyDescent="0.3">
      <c r="A4" s="121" t="s">
        <v>254</v>
      </c>
      <c r="B4" s="123" t="s">
        <v>8</v>
      </c>
      <c r="C4" s="29">
        <v>2</v>
      </c>
      <c r="D4" s="28">
        <v>22831</v>
      </c>
      <c r="E4" s="4" t="s">
        <v>46</v>
      </c>
      <c r="F4" s="4" t="s">
        <v>28</v>
      </c>
      <c r="G4" s="26" t="s">
        <v>45</v>
      </c>
      <c r="H4" s="30">
        <v>0.5</v>
      </c>
      <c r="I4" s="4">
        <f t="shared" ref="I4:I5" si="0">IF(F4="yes",D4/H4,0)</f>
        <v>0</v>
      </c>
      <c r="J4" s="6">
        <f t="shared" ref="J4:J5" si="1">IF(I4= 0,0,1/I4)</f>
        <v>0</v>
      </c>
      <c r="K4" s="15">
        <f t="shared" ref="K4:K5" si="2">J4*C4</f>
        <v>0</v>
      </c>
    </row>
    <row r="5" spans="1:14" ht="28" outlineLevel="2" x14ac:dyDescent="0.3">
      <c r="A5" s="122"/>
      <c r="B5" s="124"/>
      <c r="C5" s="29">
        <v>2</v>
      </c>
      <c r="D5" s="28">
        <v>22831</v>
      </c>
      <c r="E5" s="4" t="s">
        <v>29</v>
      </c>
      <c r="F5" s="4" t="s">
        <v>27</v>
      </c>
      <c r="G5" s="26" t="s">
        <v>94</v>
      </c>
      <c r="H5" s="30">
        <v>0.5</v>
      </c>
      <c r="I5" s="4">
        <f t="shared" si="0"/>
        <v>45662</v>
      </c>
      <c r="J5" s="6">
        <f t="shared" si="1"/>
        <v>2.1900048180105996E-5</v>
      </c>
      <c r="K5" s="15">
        <f t="shared" si="2"/>
        <v>4.3800096360211993E-5</v>
      </c>
    </row>
    <row r="6" spans="1:14" outlineLevel="2" x14ac:dyDescent="0.3">
      <c r="A6" s="121" t="s">
        <v>252</v>
      </c>
      <c r="B6" s="123" t="s">
        <v>8</v>
      </c>
      <c r="C6" s="29">
        <v>2</v>
      </c>
      <c r="D6" s="28">
        <v>22831</v>
      </c>
      <c r="E6" s="4" t="s">
        <v>46</v>
      </c>
      <c r="F6" s="4" t="s">
        <v>28</v>
      </c>
      <c r="G6" s="26" t="s">
        <v>45</v>
      </c>
      <c r="H6" s="30">
        <v>0.5</v>
      </c>
      <c r="I6" s="4">
        <f t="shared" ref="I6:I7" si="3">IF(F6="yes",D6/H6,0)</f>
        <v>0</v>
      </c>
      <c r="J6" s="6">
        <f t="shared" ref="J6:J7" si="4">IF(I6= 0,0,1/I6)</f>
        <v>0</v>
      </c>
      <c r="K6" s="15">
        <f t="shared" ref="K6:K7" si="5">J6*C6</f>
        <v>0</v>
      </c>
    </row>
    <row r="7" spans="1:14" ht="28" outlineLevel="2" x14ac:dyDescent="0.3">
      <c r="A7" s="122"/>
      <c r="B7" s="124"/>
      <c r="C7" s="29">
        <v>2</v>
      </c>
      <c r="D7" s="28">
        <v>22831</v>
      </c>
      <c r="E7" s="4" t="s">
        <v>29</v>
      </c>
      <c r="F7" s="4" t="s">
        <v>27</v>
      </c>
      <c r="G7" s="26" t="s">
        <v>94</v>
      </c>
      <c r="H7" s="30">
        <v>0.5</v>
      </c>
      <c r="I7" s="4">
        <f t="shared" si="3"/>
        <v>45662</v>
      </c>
      <c r="J7" s="6">
        <f t="shared" si="4"/>
        <v>2.1900048180105996E-5</v>
      </c>
      <c r="K7" s="15">
        <f t="shared" si="5"/>
        <v>4.3800096360211993E-5</v>
      </c>
    </row>
    <row r="8" spans="1:14" outlineLevel="2" x14ac:dyDescent="0.3">
      <c r="A8" s="121" t="s">
        <v>253</v>
      </c>
      <c r="B8" s="123" t="s">
        <v>8</v>
      </c>
      <c r="C8" s="29">
        <v>2</v>
      </c>
      <c r="D8" s="28">
        <v>22831</v>
      </c>
      <c r="E8" s="4" t="s">
        <v>46</v>
      </c>
      <c r="F8" s="4" t="s">
        <v>28</v>
      </c>
      <c r="G8" s="26" t="s">
        <v>45</v>
      </c>
      <c r="H8" s="30">
        <v>0.5</v>
      </c>
      <c r="I8" s="4">
        <f t="shared" ref="I8:I9" si="6">IF(F8="yes",D8/H8,0)</f>
        <v>0</v>
      </c>
      <c r="J8" s="6">
        <f t="shared" ref="J8:J9" si="7">IF(I8= 0,0,1/I8)</f>
        <v>0</v>
      </c>
      <c r="K8" s="15">
        <f t="shared" ref="K8:K9" si="8">J8*C8</f>
        <v>0</v>
      </c>
    </row>
    <row r="9" spans="1:14" ht="28" outlineLevel="2" x14ac:dyDescent="0.3">
      <c r="A9" s="122"/>
      <c r="B9" s="124"/>
      <c r="C9" s="29">
        <v>2</v>
      </c>
      <c r="D9" s="28">
        <v>22831</v>
      </c>
      <c r="E9" s="4" t="s">
        <v>29</v>
      </c>
      <c r="F9" s="4" t="s">
        <v>27</v>
      </c>
      <c r="G9" s="26" t="s">
        <v>94</v>
      </c>
      <c r="H9" s="30">
        <v>0.5</v>
      </c>
      <c r="I9" s="4">
        <f t="shared" si="6"/>
        <v>45662</v>
      </c>
      <c r="J9" s="6">
        <f t="shared" si="7"/>
        <v>2.1900048180105996E-5</v>
      </c>
      <c r="K9" s="15">
        <f t="shared" si="8"/>
        <v>4.3800096360211993E-5</v>
      </c>
    </row>
    <row r="10" spans="1:14" ht="28" outlineLevel="2" x14ac:dyDescent="0.3">
      <c r="A10" s="121" t="s">
        <v>250</v>
      </c>
      <c r="B10" s="123" t="s">
        <v>7</v>
      </c>
      <c r="C10" s="29">
        <v>2</v>
      </c>
      <c r="D10" s="4">
        <v>114155</v>
      </c>
      <c r="E10" s="4" t="s">
        <v>20</v>
      </c>
      <c r="F10" s="4" t="s">
        <v>27</v>
      </c>
      <c r="G10" s="26" t="s">
        <v>95</v>
      </c>
      <c r="H10" s="30">
        <v>0.7</v>
      </c>
      <c r="I10" s="4">
        <f>IF(F10="yes",D10/H10,0)</f>
        <v>163078.57142857145</v>
      </c>
      <c r="J10" s="6">
        <f>IF(I10= 0,0,1/I10)</f>
        <v>6.1320134904296781E-6</v>
      </c>
      <c r="K10" s="15">
        <f>J10*C10</f>
        <v>1.2264026980859356E-5</v>
      </c>
    </row>
    <row r="11" spans="1:14" outlineLevel="2" x14ac:dyDescent="0.3">
      <c r="A11" s="122"/>
      <c r="B11" s="124"/>
      <c r="C11" s="29">
        <v>2</v>
      </c>
      <c r="D11" s="4">
        <v>114155</v>
      </c>
      <c r="E11" s="4" t="s">
        <v>24</v>
      </c>
      <c r="F11" s="4" t="s">
        <v>28</v>
      </c>
      <c r="G11" s="26" t="s">
        <v>25</v>
      </c>
      <c r="H11" s="30">
        <v>0.3</v>
      </c>
      <c r="I11" s="4">
        <f>IF(F11="yes",D11/H11,0)</f>
        <v>0</v>
      </c>
      <c r="J11" s="6">
        <f>IF(I11= 0,0,1/I11)</f>
        <v>0</v>
      </c>
      <c r="K11" s="15">
        <f>J11*C11</f>
        <v>0</v>
      </c>
    </row>
    <row r="12" spans="1:14" ht="28" outlineLevel="2" x14ac:dyDescent="0.3">
      <c r="A12" s="121" t="s">
        <v>251</v>
      </c>
      <c r="B12" s="123" t="s">
        <v>7</v>
      </c>
      <c r="C12" s="29">
        <v>2</v>
      </c>
      <c r="D12" s="4">
        <v>114155</v>
      </c>
      <c r="E12" s="4" t="s">
        <v>20</v>
      </c>
      <c r="F12" s="4" t="s">
        <v>27</v>
      </c>
      <c r="G12" s="26" t="s">
        <v>95</v>
      </c>
      <c r="H12" s="30">
        <v>0.7</v>
      </c>
      <c r="I12" s="4">
        <f>IF(F12="yes",D12/H12,0)</f>
        <v>163078.57142857145</v>
      </c>
      <c r="J12" s="6">
        <f>IF(I12= 0,0,1/I12)</f>
        <v>6.1320134904296781E-6</v>
      </c>
      <c r="K12" s="15">
        <f>J12*C12</f>
        <v>1.2264026980859356E-5</v>
      </c>
    </row>
    <row r="13" spans="1:14" outlineLevel="2" x14ac:dyDescent="0.3">
      <c r="A13" s="122"/>
      <c r="B13" s="124"/>
      <c r="C13" s="29">
        <v>2</v>
      </c>
      <c r="D13" s="4">
        <v>114155</v>
      </c>
      <c r="E13" s="4" t="s">
        <v>24</v>
      </c>
      <c r="F13" s="4" t="s">
        <v>28</v>
      </c>
      <c r="G13" s="26" t="s">
        <v>25</v>
      </c>
      <c r="H13" s="30">
        <v>0.3</v>
      </c>
      <c r="I13" s="4">
        <f>IF(F13="yes",D13/H13,0)</f>
        <v>0</v>
      </c>
      <c r="J13" s="6">
        <f>IF(I13= 0,0,1/I13)</f>
        <v>0</v>
      </c>
      <c r="K13" s="15">
        <f>J13*C13</f>
        <v>0</v>
      </c>
    </row>
    <row r="14" spans="1:14" outlineLevel="2" x14ac:dyDescent="0.3">
      <c r="A14" s="13"/>
      <c r="B14" s="4"/>
      <c r="C14" s="4"/>
      <c r="D14" s="4"/>
      <c r="E14" s="4"/>
      <c r="F14" s="4"/>
      <c r="G14" s="4"/>
      <c r="H14" s="4"/>
      <c r="I14" s="4"/>
      <c r="J14" s="6"/>
      <c r="K14" s="22">
        <f>1/SUM(K4:K13)</f>
        <v>6413.2022471910113</v>
      </c>
      <c r="L14">
        <f>1/K14</f>
        <v>1.559283430423547E-4</v>
      </c>
      <c r="M14">
        <v>0.9</v>
      </c>
      <c r="N14">
        <f>L14*M14</f>
        <v>1.4033550873811924E-4</v>
      </c>
    </row>
    <row r="15" spans="1:14" ht="17.5" outlineLevel="1" x14ac:dyDescent="0.35">
      <c r="A15" s="127" t="s">
        <v>2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9"/>
    </row>
    <row r="16" spans="1:14" outlineLevel="2" x14ac:dyDescent="0.3">
      <c r="A16" s="31" t="s">
        <v>13</v>
      </c>
      <c r="B16" s="32" t="s">
        <v>4</v>
      </c>
      <c r="C16" s="32" t="s">
        <v>5</v>
      </c>
      <c r="D16" s="32" t="s">
        <v>12</v>
      </c>
      <c r="E16" s="32" t="s">
        <v>19</v>
      </c>
      <c r="F16" s="32" t="s">
        <v>26</v>
      </c>
      <c r="G16" s="32" t="s">
        <v>21</v>
      </c>
      <c r="H16" s="32" t="s">
        <v>6</v>
      </c>
      <c r="I16" s="32" t="s">
        <v>14</v>
      </c>
      <c r="J16" s="32" t="s">
        <v>15</v>
      </c>
      <c r="K16" s="33" t="s">
        <v>16</v>
      </c>
    </row>
    <row r="17" spans="1:11" outlineLevel="2" x14ac:dyDescent="0.3">
      <c r="A17" s="24" t="s">
        <v>152</v>
      </c>
      <c r="B17" s="25" t="s">
        <v>32</v>
      </c>
      <c r="C17" s="29">
        <v>1</v>
      </c>
      <c r="D17" s="68">
        <v>8710000000</v>
      </c>
      <c r="E17" s="4"/>
      <c r="F17" s="4" t="s">
        <v>27</v>
      </c>
      <c r="G17" s="26" t="s">
        <v>33</v>
      </c>
      <c r="H17" s="5">
        <v>1</v>
      </c>
      <c r="I17" s="4">
        <f>IF(F17="yes",D17/H17,0)</f>
        <v>8710000000</v>
      </c>
      <c r="J17" s="6">
        <f t="shared" ref="J17:J57" si="9">IF(I17= 0,0,1/I17)</f>
        <v>1.148105625717566E-10</v>
      </c>
      <c r="K17" s="15">
        <f t="shared" ref="K17:K57" si="10">J17*C17</f>
        <v>1.148105625717566E-10</v>
      </c>
    </row>
    <row r="18" spans="1:11" ht="28" outlineLevel="2" x14ac:dyDescent="0.3">
      <c r="A18" s="121" t="s">
        <v>154</v>
      </c>
      <c r="B18" s="123" t="s">
        <v>9</v>
      </c>
      <c r="C18" s="29">
        <v>2</v>
      </c>
      <c r="D18" s="4">
        <v>114155</v>
      </c>
      <c r="E18" s="4" t="s">
        <v>178</v>
      </c>
      <c r="F18" s="4" t="s">
        <v>27</v>
      </c>
      <c r="G18" s="26" t="s">
        <v>34</v>
      </c>
      <c r="H18" s="5">
        <v>0.5</v>
      </c>
      <c r="I18" s="4">
        <f t="shared" ref="I18:I57" si="11">IF(F18="yes",D18/H18,0)</f>
        <v>228310</v>
      </c>
      <c r="J18" s="6">
        <f t="shared" si="9"/>
        <v>4.3800096360211989E-6</v>
      </c>
      <c r="K18" s="15">
        <f t="shared" si="10"/>
        <v>8.7600192720423978E-6</v>
      </c>
    </row>
    <row r="19" spans="1:11" outlineLevel="2" x14ac:dyDescent="0.3">
      <c r="A19" s="122"/>
      <c r="B19" s="124"/>
      <c r="C19" s="29">
        <v>2</v>
      </c>
      <c r="D19" s="4">
        <v>114155</v>
      </c>
      <c r="E19" s="4" t="s">
        <v>29</v>
      </c>
      <c r="F19" s="4" t="s">
        <v>28</v>
      </c>
      <c r="G19" s="26" t="s">
        <v>25</v>
      </c>
      <c r="H19" s="5">
        <v>0.5</v>
      </c>
      <c r="I19" s="4">
        <f t="shared" si="11"/>
        <v>0</v>
      </c>
      <c r="J19" s="6">
        <f t="shared" si="9"/>
        <v>0</v>
      </c>
      <c r="K19" s="15">
        <f t="shared" si="10"/>
        <v>0</v>
      </c>
    </row>
    <row r="20" spans="1:11" outlineLevel="2" x14ac:dyDescent="0.3">
      <c r="A20" s="121" t="s">
        <v>155</v>
      </c>
      <c r="B20" s="123" t="s">
        <v>191</v>
      </c>
      <c r="C20" s="29">
        <v>2</v>
      </c>
      <c r="D20" s="4">
        <v>16308</v>
      </c>
      <c r="E20" s="4" t="s">
        <v>30</v>
      </c>
      <c r="F20" s="4" t="s">
        <v>157</v>
      </c>
      <c r="G20" s="26" t="s">
        <v>183</v>
      </c>
      <c r="H20" s="5">
        <v>0.5</v>
      </c>
      <c r="I20" s="4">
        <f t="shared" si="11"/>
        <v>0</v>
      </c>
      <c r="J20" s="6">
        <f t="shared" si="9"/>
        <v>0</v>
      </c>
      <c r="K20" s="15">
        <f t="shared" si="10"/>
        <v>0</v>
      </c>
    </row>
    <row r="21" spans="1:11" ht="28" outlineLevel="2" x14ac:dyDescent="0.3">
      <c r="A21" s="122"/>
      <c r="B21" s="124"/>
      <c r="C21" s="29">
        <v>2</v>
      </c>
      <c r="D21" s="4">
        <v>16308</v>
      </c>
      <c r="E21" s="4" t="s">
        <v>29</v>
      </c>
      <c r="F21" s="4" t="s">
        <v>156</v>
      </c>
      <c r="G21" s="26" t="s">
        <v>182</v>
      </c>
      <c r="H21" s="5">
        <v>0.5</v>
      </c>
      <c r="I21" s="4">
        <f t="shared" si="11"/>
        <v>32616</v>
      </c>
      <c r="J21" s="6">
        <f t="shared" si="9"/>
        <v>3.0659798871719399E-5</v>
      </c>
      <c r="K21" s="15">
        <f t="shared" si="10"/>
        <v>6.1319597743438798E-5</v>
      </c>
    </row>
    <row r="22" spans="1:11" ht="28" outlineLevel="2" x14ac:dyDescent="0.3">
      <c r="A22" s="121" t="s">
        <v>153</v>
      </c>
      <c r="B22" s="123" t="s">
        <v>7</v>
      </c>
      <c r="C22" s="29">
        <v>1</v>
      </c>
      <c r="D22" s="27">
        <v>114155</v>
      </c>
      <c r="E22" s="4" t="s">
        <v>30</v>
      </c>
      <c r="F22" s="4" t="s">
        <v>27</v>
      </c>
      <c r="G22" s="26" t="s">
        <v>35</v>
      </c>
      <c r="H22" s="5">
        <v>0.7</v>
      </c>
      <c r="I22" s="4">
        <f t="shared" si="11"/>
        <v>163078.57142857145</v>
      </c>
      <c r="J22" s="6">
        <f t="shared" si="9"/>
        <v>6.1320134904296781E-6</v>
      </c>
      <c r="K22" s="15">
        <f t="shared" si="10"/>
        <v>6.1320134904296781E-6</v>
      </c>
    </row>
    <row r="23" spans="1:11" outlineLevel="2" x14ac:dyDescent="0.3">
      <c r="A23" s="122"/>
      <c r="B23" s="124"/>
      <c r="C23" s="29">
        <v>1</v>
      </c>
      <c r="D23" s="27">
        <v>114155</v>
      </c>
      <c r="E23" s="4" t="s">
        <v>24</v>
      </c>
      <c r="F23" s="4" t="s">
        <v>28</v>
      </c>
      <c r="G23" s="26" t="s">
        <v>25</v>
      </c>
      <c r="H23" s="5">
        <v>0.3</v>
      </c>
      <c r="I23" s="4">
        <f t="shared" si="11"/>
        <v>0</v>
      </c>
      <c r="J23" s="6">
        <f t="shared" si="9"/>
        <v>0</v>
      </c>
      <c r="K23" s="15">
        <f t="shared" si="10"/>
        <v>0</v>
      </c>
    </row>
    <row r="24" spans="1:11" ht="28" outlineLevel="2" x14ac:dyDescent="0.3">
      <c r="A24" s="121" t="s">
        <v>159</v>
      </c>
      <c r="B24" s="123" t="s">
        <v>7</v>
      </c>
      <c r="C24" s="29">
        <v>3</v>
      </c>
      <c r="D24" s="27">
        <v>114155</v>
      </c>
      <c r="E24" s="4" t="s">
        <v>30</v>
      </c>
      <c r="F24" s="4" t="s">
        <v>27</v>
      </c>
      <c r="G24" s="26" t="s">
        <v>35</v>
      </c>
      <c r="H24" s="5">
        <v>0.7</v>
      </c>
      <c r="I24" s="4">
        <f t="shared" si="11"/>
        <v>163078.57142857145</v>
      </c>
      <c r="J24" s="6">
        <f t="shared" si="9"/>
        <v>6.1320134904296781E-6</v>
      </c>
      <c r="K24" s="15">
        <f t="shared" si="10"/>
        <v>1.8396040471289034E-5</v>
      </c>
    </row>
    <row r="25" spans="1:11" outlineLevel="2" x14ac:dyDescent="0.3">
      <c r="A25" s="122"/>
      <c r="B25" s="124"/>
      <c r="C25" s="29">
        <v>3</v>
      </c>
      <c r="D25" s="27">
        <v>114155</v>
      </c>
      <c r="E25" s="4" t="s">
        <v>24</v>
      </c>
      <c r="F25" s="4" t="s">
        <v>28</v>
      </c>
      <c r="G25" s="26" t="s">
        <v>25</v>
      </c>
      <c r="H25" s="5">
        <v>0.3</v>
      </c>
      <c r="I25" s="4">
        <f t="shared" si="11"/>
        <v>0</v>
      </c>
      <c r="J25" s="6">
        <f t="shared" si="9"/>
        <v>0</v>
      </c>
      <c r="K25" s="15">
        <f t="shared" si="10"/>
        <v>0</v>
      </c>
    </row>
    <row r="26" spans="1:11" ht="28" outlineLevel="2" x14ac:dyDescent="0.3">
      <c r="A26" s="121" t="s">
        <v>158</v>
      </c>
      <c r="B26" s="123" t="s">
        <v>7</v>
      </c>
      <c r="C26" s="29">
        <v>2</v>
      </c>
      <c r="D26" s="4">
        <v>57305.9</v>
      </c>
      <c r="E26" s="4" t="s">
        <v>30</v>
      </c>
      <c r="F26" s="4" t="s">
        <v>27</v>
      </c>
      <c r="G26" s="26" t="s">
        <v>35</v>
      </c>
      <c r="H26" s="5">
        <v>0.7</v>
      </c>
      <c r="I26" s="4">
        <f t="shared" si="11"/>
        <v>81865.571428571435</v>
      </c>
      <c r="J26" s="6">
        <f t="shared" si="9"/>
        <v>1.2215147131447197E-5</v>
      </c>
      <c r="K26" s="15">
        <f t="shared" si="10"/>
        <v>2.4430294262894394E-5</v>
      </c>
    </row>
    <row r="27" spans="1:11" outlineLevel="2" x14ac:dyDescent="0.3">
      <c r="A27" s="122"/>
      <c r="B27" s="124"/>
      <c r="C27" s="29">
        <v>2</v>
      </c>
      <c r="D27" s="4">
        <v>57305.9</v>
      </c>
      <c r="E27" s="4" t="s">
        <v>24</v>
      </c>
      <c r="F27" s="4" t="s">
        <v>28</v>
      </c>
      <c r="G27" s="26" t="s">
        <v>25</v>
      </c>
      <c r="H27" s="5">
        <v>0.3</v>
      </c>
      <c r="I27" s="4">
        <f t="shared" si="11"/>
        <v>0</v>
      </c>
      <c r="J27" s="6">
        <f t="shared" si="9"/>
        <v>0</v>
      </c>
      <c r="K27" s="15">
        <f t="shared" si="10"/>
        <v>0</v>
      </c>
    </row>
    <row r="28" spans="1:11" outlineLevel="2" x14ac:dyDescent="0.3">
      <c r="A28" s="121" t="s">
        <v>160</v>
      </c>
      <c r="B28" s="123" t="s">
        <v>8</v>
      </c>
      <c r="C28" s="29">
        <v>3</v>
      </c>
      <c r="D28" s="28">
        <v>22831</v>
      </c>
      <c r="E28" s="4" t="s">
        <v>20</v>
      </c>
      <c r="F28" s="4" t="s">
        <v>28</v>
      </c>
      <c r="G28" s="26" t="s">
        <v>25</v>
      </c>
      <c r="H28" s="5">
        <v>0.5</v>
      </c>
      <c r="I28" s="4">
        <f t="shared" si="11"/>
        <v>0</v>
      </c>
      <c r="J28" s="6">
        <f t="shared" si="9"/>
        <v>0</v>
      </c>
      <c r="K28" s="15">
        <f t="shared" si="10"/>
        <v>0</v>
      </c>
    </row>
    <row r="29" spans="1:11" ht="28" outlineLevel="2" x14ac:dyDescent="0.3">
      <c r="A29" s="122"/>
      <c r="B29" s="124"/>
      <c r="C29" s="29">
        <v>3</v>
      </c>
      <c r="D29" s="28">
        <v>22831</v>
      </c>
      <c r="E29" s="4" t="s">
        <v>29</v>
      </c>
      <c r="F29" s="4" t="s">
        <v>27</v>
      </c>
      <c r="G29" s="26" t="s">
        <v>184</v>
      </c>
      <c r="H29" s="5">
        <v>0.5</v>
      </c>
      <c r="I29" s="4">
        <f t="shared" si="11"/>
        <v>45662</v>
      </c>
      <c r="J29" s="6">
        <f t="shared" si="9"/>
        <v>2.1900048180105996E-5</v>
      </c>
      <c r="K29" s="15">
        <f t="shared" si="10"/>
        <v>6.5700144540317985E-5</v>
      </c>
    </row>
    <row r="30" spans="1:11" outlineLevel="2" x14ac:dyDescent="0.3">
      <c r="A30" s="121" t="s">
        <v>161</v>
      </c>
      <c r="B30" s="123" t="s">
        <v>8</v>
      </c>
      <c r="C30" s="29">
        <v>1</v>
      </c>
      <c r="D30" s="28">
        <v>22831</v>
      </c>
      <c r="E30" s="4" t="s">
        <v>20</v>
      </c>
      <c r="F30" s="4" t="s">
        <v>27</v>
      </c>
      <c r="G30" s="26" t="s">
        <v>25</v>
      </c>
      <c r="H30" s="5">
        <v>0.5</v>
      </c>
      <c r="I30" s="4">
        <f t="shared" si="11"/>
        <v>45662</v>
      </c>
      <c r="J30" s="6">
        <f t="shared" si="9"/>
        <v>2.1900048180105996E-5</v>
      </c>
      <c r="K30" s="15">
        <f t="shared" si="10"/>
        <v>2.1900048180105996E-5</v>
      </c>
    </row>
    <row r="31" spans="1:11" ht="28" outlineLevel="2" x14ac:dyDescent="0.3">
      <c r="A31" s="122"/>
      <c r="B31" s="124"/>
      <c r="C31" s="29">
        <v>1</v>
      </c>
      <c r="D31" s="28">
        <v>22831</v>
      </c>
      <c r="E31" s="4" t="s">
        <v>162</v>
      </c>
      <c r="F31" s="4" t="s">
        <v>27</v>
      </c>
      <c r="G31" s="26" t="s">
        <v>184</v>
      </c>
      <c r="H31" s="5">
        <v>0.5</v>
      </c>
      <c r="I31" s="4">
        <f t="shared" si="11"/>
        <v>45662</v>
      </c>
      <c r="J31" s="6">
        <f t="shared" si="9"/>
        <v>2.1900048180105996E-5</v>
      </c>
      <c r="K31" s="15">
        <f t="shared" si="10"/>
        <v>2.1900048180105996E-5</v>
      </c>
    </row>
    <row r="32" spans="1:11" outlineLevel="2" x14ac:dyDescent="0.3">
      <c r="A32" s="121" t="s">
        <v>163</v>
      </c>
      <c r="B32" s="123" t="s">
        <v>8</v>
      </c>
      <c r="C32" s="29">
        <v>5</v>
      </c>
      <c r="D32" s="28">
        <v>22831</v>
      </c>
      <c r="E32" s="4" t="s">
        <v>20</v>
      </c>
      <c r="F32" s="4" t="s">
        <v>28</v>
      </c>
      <c r="G32" s="26" t="s">
        <v>25</v>
      </c>
      <c r="H32" s="5">
        <v>0.5</v>
      </c>
      <c r="I32" s="4">
        <f t="shared" si="11"/>
        <v>0</v>
      </c>
      <c r="J32" s="6">
        <f t="shared" si="9"/>
        <v>0</v>
      </c>
      <c r="K32" s="15">
        <f t="shared" si="10"/>
        <v>0</v>
      </c>
    </row>
    <row r="33" spans="1:14" ht="28" outlineLevel="2" x14ac:dyDescent="0.3">
      <c r="A33" s="122"/>
      <c r="B33" s="124"/>
      <c r="C33" s="29">
        <v>5</v>
      </c>
      <c r="D33" s="28">
        <v>22831</v>
      </c>
      <c r="E33" s="4" t="s">
        <v>29</v>
      </c>
      <c r="F33" s="4" t="s">
        <v>27</v>
      </c>
      <c r="G33" s="26" t="s">
        <v>36</v>
      </c>
      <c r="H33" s="5">
        <v>0.5</v>
      </c>
      <c r="I33" s="4">
        <f t="shared" si="11"/>
        <v>45662</v>
      </c>
      <c r="J33" s="6">
        <f t="shared" si="9"/>
        <v>2.1900048180105996E-5</v>
      </c>
      <c r="K33" s="15">
        <f t="shared" si="10"/>
        <v>1.0950024090052998E-4</v>
      </c>
    </row>
    <row r="34" spans="1:14" outlineLevel="2" x14ac:dyDescent="0.3">
      <c r="A34" s="121" t="s">
        <v>164</v>
      </c>
      <c r="B34" s="123" t="s">
        <v>7</v>
      </c>
      <c r="C34" s="29">
        <v>3</v>
      </c>
      <c r="D34" s="27">
        <v>114155</v>
      </c>
      <c r="E34" s="4" t="s">
        <v>20</v>
      </c>
      <c r="F34" s="4" t="s">
        <v>28</v>
      </c>
      <c r="G34" s="26" t="s">
        <v>25</v>
      </c>
      <c r="H34" s="5">
        <v>0.7</v>
      </c>
      <c r="I34" s="4">
        <f t="shared" si="11"/>
        <v>0</v>
      </c>
      <c r="J34" s="6">
        <f t="shared" si="9"/>
        <v>0</v>
      </c>
      <c r="K34" s="15">
        <f t="shared" si="10"/>
        <v>0</v>
      </c>
    </row>
    <row r="35" spans="1:14" outlineLevel="2" x14ac:dyDescent="0.3">
      <c r="A35" s="122"/>
      <c r="B35" s="124"/>
      <c r="C35" s="29">
        <v>3</v>
      </c>
      <c r="D35" s="27">
        <v>114155</v>
      </c>
      <c r="E35" s="4" t="s">
        <v>24</v>
      </c>
      <c r="F35" s="4" t="s">
        <v>28</v>
      </c>
      <c r="G35" s="26" t="s">
        <v>25</v>
      </c>
      <c r="H35" s="5">
        <v>0.3</v>
      </c>
      <c r="I35" s="4">
        <f t="shared" si="11"/>
        <v>0</v>
      </c>
      <c r="J35" s="6">
        <f t="shared" si="9"/>
        <v>0</v>
      </c>
      <c r="K35" s="15">
        <f t="shared" si="10"/>
        <v>0</v>
      </c>
    </row>
    <row r="36" spans="1:14" outlineLevel="2" x14ac:dyDescent="0.3">
      <c r="A36" s="121" t="s">
        <v>166</v>
      </c>
      <c r="B36" s="123" t="s">
        <v>7</v>
      </c>
      <c r="C36" s="29">
        <v>5</v>
      </c>
      <c r="D36" s="27">
        <v>114155</v>
      </c>
      <c r="E36" s="4" t="s">
        <v>20</v>
      </c>
      <c r="F36" s="4" t="s">
        <v>27</v>
      </c>
      <c r="G36" s="26" t="s">
        <v>187</v>
      </c>
      <c r="H36" s="5">
        <v>0.7</v>
      </c>
      <c r="I36" s="4">
        <f t="shared" si="11"/>
        <v>163078.57142857145</v>
      </c>
      <c r="J36" s="6">
        <f t="shared" si="9"/>
        <v>6.1320134904296781E-6</v>
      </c>
      <c r="K36" s="15">
        <f t="shared" si="10"/>
        <v>3.0660067452148394E-5</v>
      </c>
    </row>
    <row r="37" spans="1:14" outlineLevel="2" x14ac:dyDescent="0.3">
      <c r="A37" s="122"/>
      <c r="B37" s="124"/>
      <c r="C37" s="29">
        <v>5</v>
      </c>
      <c r="D37" s="27">
        <v>114155</v>
      </c>
      <c r="E37" s="4" t="s">
        <v>24</v>
      </c>
      <c r="F37" s="4" t="s">
        <v>28</v>
      </c>
      <c r="G37" s="26" t="s">
        <v>25</v>
      </c>
      <c r="H37" s="5">
        <v>0.3</v>
      </c>
      <c r="I37" s="4">
        <f t="shared" si="11"/>
        <v>0</v>
      </c>
      <c r="J37" s="6">
        <f t="shared" si="9"/>
        <v>0</v>
      </c>
      <c r="K37" s="15">
        <f t="shared" si="10"/>
        <v>0</v>
      </c>
    </row>
    <row r="38" spans="1:14" outlineLevel="2" x14ac:dyDescent="0.3">
      <c r="A38" s="121" t="s">
        <v>165</v>
      </c>
      <c r="B38" s="123" t="s">
        <v>8</v>
      </c>
      <c r="C38" s="29">
        <v>4</v>
      </c>
      <c r="D38" s="28">
        <v>22831</v>
      </c>
      <c r="E38" s="4" t="s">
        <v>20</v>
      </c>
      <c r="F38" s="4" t="s">
        <v>28</v>
      </c>
      <c r="G38" s="26" t="s">
        <v>25</v>
      </c>
      <c r="H38" s="5">
        <v>0.5</v>
      </c>
      <c r="I38" s="4">
        <f t="shared" si="11"/>
        <v>0</v>
      </c>
      <c r="J38" s="6">
        <f t="shared" si="9"/>
        <v>0</v>
      </c>
      <c r="K38" s="15">
        <f t="shared" si="10"/>
        <v>0</v>
      </c>
    </row>
    <row r="39" spans="1:14" outlineLevel="2" x14ac:dyDescent="0.3">
      <c r="A39" s="122"/>
      <c r="B39" s="124"/>
      <c r="C39" s="29">
        <v>4</v>
      </c>
      <c r="D39" s="28">
        <v>22831</v>
      </c>
      <c r="E39" s="4" t="s">
        <v>29</v>
      </c>
      <c r="F39" s="4" t="s">
        <v>28</v>
      </c>
      <c r="G39" s="26" t="s">
        <v>25</v>
      </c>
      <c r="H39" s="5">
        <v>0.5</v>
      </c>
      <c r="I39" s="4">
        <f t="shared" si="11"/>
        <v>0</v>
      </c>
      <c r="J39" s="6">
        <f t="shared" si="9"/>
        <v>0</v>
      </c>
      <c r="K39" s="15">
        <f t="shared" si="10"/>
        <v>0</v>
      </c>
    </row>
    <row r="40" spans="1:14" ht="28" outlineLevel="2" x14ac:dyDescent="0.3">
      <c r="A40" s="121" t="s">
        <v>167</v>
      </c>
      <c r="B40" s="123" t="s">
        <v>10</v>
      </c>
      <c r="C40" s="4">
        <v>1</v>
      </c>
      <c r="D40" s="4">
        <v>38052</v>
      </c>
      <c r="E40" s="4" t="s">
        <v>50</v>
      </c>
      <c r="F40" s="4" t="s">
        <v>27</v>
      </c>
      <c r="G40" s="26" t="s">
        <v>185</v>
      </c>
      <c r="H40" s="34">
        <v>0.16700000000000001</v>
      </c>
      <c r="I40" s="4">
        <f t="shared" si="11"/>
        <v>227856.2874251497</v>
      </c>
      <c r="J40" s="6">
        <f t="shared" si="9"/>
        <v>4.3887312099232626E-6</v>
      </c>
      <c r="K40" s="15">
        <f t="shared" si="10"/>
        <v>4.3887312099232626E-6</v>
      </c>
    </row>
    <row r="41" spans="1:14" ht="28" outlineLevel="2" x14ac:dyDescent="0.3">
      <c r="A41" s="125"/>
      <c r="B41" s="126"/>
      <c r="C41" s="4">
        <v>1</v>
      </c>
      <c r="D41" s="4">
        <v>38052</v>
      </c>
      <c r="E41" s="4" t="s">
        <v>51</v>
      </c>
      <c r="F41" s="4" t="s">
        <v>27</v>
      </c>
      <c r="G41" s="26" t="s">
        <v>184</v>
      </c>
      <c r="H41" s="34">
        <v>0.16700000000000001</v>
      </c>
      <c r="I41" s="4">
        <f t="shared" si="11"/>
        <v>227856.2874251497</v>
      </c>
      <c r="J41" s="6">
        <f t="shared" si="9"/>
        <v>4.3887312099232626E-6</v>
      </c>
      <c r="K41" s="15">
        <f t="shared" si="10"/>
        <v>4.3887312099232626E-6</v>
      </c>
    </row>
    <row r="42" spans="1:14" ht="28" outlineLevel="2" x14ac:dyDescent="0.3">
      <c r="A42" s="125"/>
      <c r="B42" s="126"/>
      <c r="C42" s="4">
        <v>1</v>
      </c>
      <c r="D42" s="4">
        <v>38052</v>
      </c>
      <c r="E42" s="4" t="s">
        <v>52</v>
      </c>
      <c r="F42" s="4" t="s">
        <v>156</v>
      </c>
      <c r="G42" s="26" t="s">
        <v>184</v>
      </c>
      <c r="H42" s="34">
        <v>0.16700000000000001</v>
      </c>
      <c r="I42" s="4">
        <f t="shared" si="11"/>
        <v>227856.2874251497</v>
      </c>
      <c r="J42" s="6">
        <f t="shared" si="9"/>
        <v>4.3887312099232626E-6</v>
      </c>
      <c r="K42" s="15">
        <f t="shared" si="10"/>
        <v>4.3887312099232626E-6</v>
      </c>
    </row>
    <row r="43" spans="1:14" outlineLevel="2" x14ac:dyDescent="0.3">
      <c r="A43" s="125"/>
      <c r="B43" s="126"/>
      <c r="C43" s="4">
        <v>1</v>
      </c>
      <c r="D43" s="4">
        <v>38052</v>
      </c>
      <c r="E43" s="4" t="s">
        <v>53</v>
      </c>
      <c r="F43" s="4" t="s">
        <v>28</v>
      </c>
      <c r="G43" s="26" t="s">
        <v>25</v>
      </c>
      <c r="H43" s="34">
        <v>0.16700000000000001</v>
      </c>
      <c r="I43" s="4">
        <f t="shared" si="11"/>
        <v>0</v>
      </c>
      <c r="J43" s="6">
        <f t="shared" si="9"/>
        <v>0</v>
      </c>
      <c r="K43" s="15">
        <f t="shared" si="10"/>
        <v>0</v>
      </c>
    </row>
    <row r="44" spans="1:14" outlineLevel="2" x14ac:dyDescent="0.3">
      <c r="A44" s="125"/>
      <c r="B44" s="126"/>
      <c r="C44" s="4">
        <v>1</v>
      </c>
      <c r="D44" s="4">
        <v>38052</v>
      </c>
      <c r="E44" s="4" t="s">
        <v>54</v>
      </c>
      <c r="F44" s="4" t="s">
        <v>28</v>
      </c>
      <c r="G44" s="26" t="s">
        <v>25</v>
      </c>
      <c r="H44" s="34">
        <v>0.16700000000000001</v>
      </c>
      <c r="I44" s="4">
        <f t="shared" si="11"/>
        <v>0</v>
      </c>
      <c r="J44" s="6">
        <f t="shared" si="9"/>
        <v>0</v>
      </c>
      <c r="K44" s="15">
        <f t="shared" si="10"/>
        <v>0</v>
      </c>
    </row>
    <row r="45" spans="1:14" outlineLevel="2" x14ac:dyDescent="0.3">
      <c r="A45" s="122"/>
      <c r="B45" s="124"/>
      <c r="C45" s="4">
        <v>1</v>
      </c>
      <c r="D45" s="4">
        <v>38052</v>
      </c>
      <c r="E45" s="4" t="s">
        <v>55</v>
      </c>
      <c r="F45" s="4" t="s">
        <v>28</v>
      </c>
      <c r="G45" s="26" t="s">
        <v>25</v>
      </c>
      <c r="H45" s="34">
        <v>0.16700000000000001</v>
      </c>
      <c r="I45" s="4">
        <f t="shared" si="11"/>
        <v>0</v>
      </c>
      <c r="J45" s="6">
        <f t="shared" si="9"/>
        <v>0</v>
      </c>
      <c r="K45" s="15">
        <f t="shared" si="10"/>
        <v>0</v>
      </c>
    </row>
    <row r="46" spans="1:14" outlineLevel="2" x14ac:dyDescent="0.3">
      <c r="A46" s="121" t="s">
        <v>122</v>
      </c>
      <c r="B46" s="123" t="s">
        <v>37</v>
      </c>
      <c r="C46" s="29">
        <v>1</v>
      </c>
      <c r="D46" s="4">
        <v>22831</v>
      </c>
      <c r="E46" s="4" t="s">
        <v>38</v>
      </c>
      <c r="F46" s="4" t="s">
        <v>28</v>
      </c>
      <c r="G46" s="26" t="s">
        <v>186</v>
      </c>
      <c r="H46" s="30">
        <v>0.16700000000000001</v>
      </c>
      <c r="I46" s="4">
        <f t="shared" si="11"/>
        <v>0</v>
      </c>
      <c r="J46" s="6">
        <f t="shared" si="9"/>
        <v>0</v>
      </c>
      <c r="K46" s="15">
        <f t="shared" si="10"/>
        <v>0</v>
      </c>
    </row>
    <row r="47" spans="1:14" ht="42" outlineLevel="2" x14ac:dyDescent="0.3">
      <c r="A47" s="125"/>
      <c r="B47" s="126"/>
      <c r="C47" s="29">
        <v>1</v>
      </c>
      <c r="D47" s="4">
        <v>22831</v>
      </c>
      <c r="E47" s="4" t="s">
        <v>39</v>
      </c>
      <c r="F47" s="4" t="s">
        <v>28</v>
      </c>
      <c r="G47" s="26" t="s">
        <v>44</v>
      </c>
      <c r="H47" s="30">
        <v>0.16700000000000001</v>
      </c>
      <c r="I47" s="4">
        <f t="shared" si="11"/>
        <v>0</v>
      </c>
      <c r="J47" s="6">
        <f t="shared" si="9"/>
        <v>0</v>
      </c>
      <c r="K47" s="15">
        <f t="shared" si="10"/>
        <v>0</v>
      </c>
      <c r="L47" t="e">
        <f>1/#REF!</f>
        <v>#REF!</v>
      </c>
      <c r="M47">
        <v>0.6</v>
      </c>
      <c r="N47" t="e">
        <f>L47*M47</f>
        <v>#REF!</v>
      </c>
    </row>
    <row r="48" spans="1:14" ht="42" outlineLevel="2" x14ac:dyDescent="0.3">
      <c r="A48" s="125"/>
      <c r="B48" s="126"/>
      <c r="C48" s="29">
        <v>1</v>
      </c>
      <c r="D48" s="4">
        <v>22831</v>
      </c>
      <c r="E48" s="4" t="s">
        <v>40</v>
      </c>
      <c r="F48" s="4" t="s">
        <v>28</v>
      </c>
      <c r="G48" s="26" t="s">
        <v>44</v>
      </c>
      <c r="H48" s="30">
        <v>0.16700000000000001</v>
      </c>
      <c r="I48" s="4">
        <f t="shared" si="11"/>
        <v>0</v>
      </c>
      <c r="J48" s="6">
        <f t="shared" si="9"/>
        <v>0</v>
      </c>
      <c r="K48" s="15">
        <f t="shared" si="10"/>
        <v>0</v>
      </c>
    </row>
    <row r="49" spans="1:14" ht="42" outlineLevel="2" x14ac:dyDescent="0.3">
      <c r="A49" s="125"/>
      <c r="B49" s="126"/>
      <c r="C49" s="29">
        <v>1</v>
      </c>
      <c r="D49" s="4">
        <v>22831</v>
      </c>
      <c r="E49" s="4" t="s">
        <v>41</v>
      </c>
      <c r="F49" s="4" t="s">
        <v>28</v>
      </c>
      <c r="G49" s="26" t="s">
        <v>44</v>
      </c>
      <c r="H49" s="30">
        <v>0.16700000000000001</v>
      </c>
      <c r="I49" s="4">
        <f t="shared" si="11"/>
        <v>0</v>
      </c>
      <c r="J49" s="6">
        <f t="shared" si="9"/>
        <v>0</v>
      </c>
      <c r="K49" s="15">
        <f t="shared" si="10"/>
        <v>0</v>
      </c>
    </row>
    <row r="50" spans="1:14" ht="42" outlineLevel="2" x14ac:dyDescent="0.3">
      <c r="A50" s="125"/>
      <c r="B50" s="126"/>
      <c r="C50" s="29">
        <v>1</v>
      </c>
      <c r="D50" s="4">
        <v>22831</v>
      </c>
      <c r="E50" s="4" t="s">
        <v>42</v>
      </c>
      <c r="F50" s="4" t="s">
        <v>28</v>
      </c>
      <c r="G50" s="26" t="s">
        <v>44</v>
      </c>
      <c r="H50" s="30">
        <v>0.16700000000000001</v>
      </c>
      <c r="I50" s="4">
        <f t="shared" si="11"/>
        <v>0</v>
      </c>
      <c r="J50" s="6">
        <f t="shared" si="9"/>
        <v>0</v>
      </c>
      <c r="K50" s="15">
        <f t="shared" si="10"/>
        <v>0</v>
      </c>
    </row>
    <row r="51" spans="1:14" ht="42" outlineLevel="2" x14ac:dyDescent="0.3">
      <c r="A51" s="122"/>
      <c r="B51" s="124"/>
      <c r="C51" s="29">
        <v>1</v>
      </c>
      <c r="D51" s="4">
        <v>22831</v>
      </c>
      <c r="E51" s="4" t="s">
        <v>43</v>
      </c>
      <c r="F51" s="4" t="s">
        <v>28</v>
      </c>
      <c r="G51" s="26" t="s">
        <v>188</v>
      </c>
      <c r="H51" s="30">
        <v>0.16700000000000001</v>
      </c>
      <c r="I51" s="4">
        <f t="shared" si="11"/>
        <v>0</v>
      </c>
      <c r="J51" s="6">
        <f t="shared" si="9"/>
        <v>0</v>
      </c>
      <c r="K51" s="15">
        <f t="shared" si="10"/>
        <v>0</v>
      </c>
    </row>
    <row r="52" spans="1:14" ht="28" outlineLevel="2" x14ac:dyDescent="0.3">
      <c r="A52" s="121" t="s">
        <v>168</v>
      </c>
      <c r="B52" s="123" t="s">
        <v>8</v>
      </c>
      <c r="C52" s="29">
        <v>2</v>
      </c>
      <c r="D52" s="28">
        <v>22831</v>
      </c>
      <c r="E52" s="4" t="s">
        <v>20</v>
      </c>
      <c r="F52" s="4" t="s">
        <v>28</v>
      </c>
      <c r="G52" s="26" t="s">
        <v>184</v>
      </c>
      <c r="H52" s="5">
        <v>0.5</v>
      </c>
      <c r="I52" s="4">
        <f t="shared" si="11"/>
        <v>0</v>
      </c>
      <c r="J52" s="6">
        <f t="shared" si="9"/>
        <v>0</v>
      </c>
      <c r="K52" s="15">
        <f t="shared" si="10"/>
        <v>0</v>
      </c>
    </row>
    <row r="53" spans="1:14" outlineLevel="2" x14ac:dyDescent="0.3">
      <c r="A53" s="122"/>
      <c r="B53" s="124"/>
      <c r="C53" s="29">
        <v>2</v>
      </c>
      <c r="D53" s="28">
        <v>22831</v>
      </c>
      <c r="E53" s="4" t="s">
        <v>29</v>
      </c>
      <c r="F53" s="4" t="s">
        <v>145</v>
      </c>
      <c r="G53" s="26" t="s">
        <v>25</v>
      </c>
      <c r="H53" s="5">
        <v>0.5</v>
      </c>
      <c r="I53" s="4">
        <f t="shared" si="11"/>
        <v>45662</v>
      </c>
      <c r="J53" s="6">
        <f t="shared" si="9"/>
        <v>2.1900048180105996E-5</v>
      </c>
      <c r="K53" s="15">
        <f t="shared" si="10"/>
        <v>4.3800096360211993E-5</v>
      </c>
    </row>
    <row r="54" spans="1:14" ht="28" outlineLevel="2" x14ac:dyDescent="0.3">
      <c r="A54" s="121" t="s">
        <v>169</v>
      </c>
      <c r="B54" s="123" t="s">
        <v>7</v>
      </c>
      <c r="C54" s="29">
        <v>4</v>
      </c>
      <c r="D54" s="27">
        <v>114155</v>
      </c>
      <c r="E54" s="4" t="s">
        <v>20</v>
      </c>
      <c r="F54" s="4" t="s">
        <v>27</v>
      </c>
      <c r="G54" s="26" t="s">
        <v>184</v>
      </c>
      <c r="H54" s="30">
        <v>0.7</v>
      </c>
      <c r="I54" s="4">
        <f t="shared" si="11"/>
        <v>163078.57142857145</v>
      </c>
      <c r="J54" s="6">
        <f t="shared" si="9"/>
        <v>6.1320134904296781E-6</v>
      </c>
      <c r="K54" s="15">
        <f t="shared" si="10"/>
        <v>2.4528053961718713E-5</v>
      </c>
    </row>
    <row r="55" spans="1:14" outlineLevel="2" x14ac:dyDescent="0.3">
      <c r="A55" s="122"/>
      <c r="B55" s="124"/>
      <c r="C55" s="29">
        <v>4</v>
      </c>
      <c r="D55" s="27">
        <v>114155</v>
      </c>
      <c r="E55" s="4" t="s">
        <v>24</v>
      </c>
      <c r="F55" s="4" t="s">
        <v>28</v>
      </c>
      <c r="G55" s="26" t="s">
        <v>25</v>
      </c>
      <c r="H55" s="30">
        <v>0.3</v>
      </c>
      <c r="I55" s="4">
        <f t="shared" si="11"/>
        <v>0</v>
      </c>
      <c r="J55" s="6">
        <f t="shared" si="9"/>
        <v>0</v>
      </c>
      <c r="K55" s="15">
        <f t="shared" si="10"/>
        <v>0</v>
      </c>
    </row>
    <row r="56" spans="1:14" ht="28" outlineLevel="2" x14ac:dyDescent="0.3">
      <c r="A56" s="121" t="s">
        <v>171</v>
      </c>
      <c r="B56" s="123" t="s">
        <v>7</v>
      </c>
      <c r="C56" s="29">
        <v>4</v>
      </c>
      <c r="D56" s="27">
        <v>114155</v>
      </c>
      <c r="E56" s="4" t="s">
        <v>20</v>
      </c>
      <c r="F56" s="4" t="s">
        <v>170</v>
      </c>
      <c r="G56" s="26" t="s">
        <v>184</v>
      </c>
      <c r="H56" s="30">
        <v>0.7</v>
      </c>
      <c r="I56" s="4">
        <f t="shared" si="11"/>
        <v>0</v>
      </c>
      <c r="J56" s="6">
        <f t="shared" si="9"/>
        <v>0</v>
      </c>
      <c r="K56" s="15">
        <f t="shared" si="10"/>
        <v>0</v>
      </c>
    </row>
    <row r="57" spans="1:14" outlineLevel="2" x14ac:dyDescent="0.3">
      <c r="A57" s="122"/>
      <c r="B57" s="124"/>
      <c r="C57" s="29">
        <v>4</v>
      </c>
      <c r="D57" s="27">
        <v>114155</v>
      </c>
      <c r="E57" s="4" t="s">
        <v>24</v>
      </c>
      <c r="F57" s="4" t="s">
        <v>28</v>
      </c>
      <c r="G57" s="26" t="s">
        <v>25</v>
      </c>
      <c r="H57" s="30">
        <v>0.3</v>
      </c>
      <c r="I57" s="4">
        <f t="shared" si="11"/>
        <v>0</v>
      </c>
      <c r="J57" s="6">
        <f t="shared" si="9"/>
        <v>0</v>
      </c>
      <c r="K57" s="15">
        <f t="shared" si="10"/>
        <v>0</v>
      </c>
    </row>
    <row r="58" spans="1:14" outlineLevel="2" x14ac:dyDescent="0.3">
      <c r="A58" s="16"/>
      <c r="B58" s="7"/>
      <c r="C58" s="7"/>
      <c r="D58" s="7"/>
      <c r="E58" s="7"/>
      <c r="F58" s="7"/>
      <c r="G58" s="7"/>
      <c r="H58" s="7"/>
      <c r="I58" s="7"/>
      <c r="J58" s="7"/>
      <c r="K58" s="14">
        <f>1/SUM(K17:K57)</f>
        <v>2221.2696763534768</v>
      </c>
      <c r="L58">
        <f>1/K58</f>
        <v>4.5019297325556574E-4</v>
      </c>
      <c r="M58">
        <v>0.6</v>
      </c>
      <c r="N58">
        <f>L58*M58</f>
        <v>2.7011578395333944E-4</v>
      </c>
    </row>
    <row r="59" spans="1:14" ht="17.5" outlineLevel="1" x14ac:dyDescent="0.35">
      <c r="A59" s="127" t="s">
        <v>3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9"/>
    </row>
    <row r="60" spans="1:14" outlineLevel="4" x14ac:dyDescent="0.3">
      <c r="A60" s="31" t="s">
        <v>13</v>
      </c>
      <c r="B60" s="32" t="s">
        <v>4</v>
      </c>
      <c r="C60" s="32" t="s">
        <v>5</v>
      </c>
      <c r="D60" s="32" t="s">
        <v>12</v>
      </c>
      <c r="E60" s="32" t="s">
        <v>19</v>
      </c>
      <c r="F60" s="32" t="s">
        <v>26</v>
      </c>
      <c r="G60" s="32" t="s">
        <v>21</v>
      </c>
      <c r="H60" s="32" t="s">
        <v>6</v>
      </c>
      <c r="I60" s="32" t="s">
        <v>14</v>
      </c>
      <c r="J60" s="32" t="s">
        <v>15</v>
      </c>
      <c r="K60" s="33" t="s">
        <v>16</v>
      </c>
    </row>
    <row r="61" spans="1:14" outlineLevel="4" x14ac:dyDescent="0.3">
      <c r="A61" s="121" t="s">
        <v>172</v>
      </c>
      <c r="B61" s="123" t="s">
        <v>8</v>
      </c>
      <c r="C61" s="4">
        <v>4</v>
      </c>
      <c r="D61" s="28">
        <v>22831</v>
      </c>
      <c r="E61" s="4" t="s">
        <v>20</v>
      </c>
      <c r="F61" s="4" t="s">
        <v>28</v>
      </c>
      <c r="G61" s="4" t="s">
        <v>25</v>
      </c>
      <c r="H61" s="5">
        <v>0.5</v>
      </c>
      <c r="I61" s="4">
        <f t="shared" ref="I61:I91" si="12">IF(F61="yes",D61/H61,0)</f>
        <v>0</v>
      </c>
      <c r="J61" s="6">
        <f t="shared" ref="J61:J119" si="13">IF(I61= 0,0,1/I61)</f>
        <v>0</v>
      </c>
      <c r="K61" s="15">
        <f>J61*C61</f>
        <v>0</v>
      </c>
    </row>
    <row r="62" spans="1:14" outlineLevel="4" x14ac:dyDescent="0.3">
      <c r="A62" s="122"/>
      <c r="B62" s="124"/>
      <c r="C62" s="4">
        <v>4</v>
      </c>
      <c r="D62" s="28">
        <v>22831</v>
      </c>
      <c r="E62" s="4" t="s">
        <v>29</v>
      </c>
      <c r="F62" s="4" t="s">
        <v>28</v>
      </c>
      <c r="G62" s="4" t="s">
        <v>25</v>
      </c>
      <c r="H62" s="5">
        <v>0.5</v>
      </c>
      <c r="I62" s="4">
        <f t="shared" si="12"/>
        <v>0</v>
      </c>
      <c r="J62" s="6">
        <f t="shared" si="13"/>
        <v>0</v>
      </c>
      <c r="K62" s="15">
        <f>J62*C62</f>
        <v>0</v>
      </c>
    </row>
    <row r="63" spans="1:14" outlineLevel="4" x14ac:dyDescent="0.3">
      <c r="A63" s="121" t="s">
        <v>173</v>
      </c>
      <c r="B63" s="123" t="s">
        <v>37</v>
      </c>
      <c r="C63" s="4">
        <v>2</v>
      </c>
      <c r="D63" s="4">
        <v>55936.34</v>
      </c>
      <c r="E63" s="4" t="s">
        <v>38</v>
      </c>
      <c r="F63" s="4" t="s">
        <v>28</v>
      </c>
      <c r="G63" s="4" t="s">
        <v>47</v>
      </c>
      <c r="H63" s="34">
        <v>0.16700000000000001</v>
      </c>
      <c r="I63" s="4">
        <f t="shared" si="12"/>
        <v>0</v>
      </c>
      <c r="J63" s="6">
        <f t="shared" si="13"/>
        <v>0</v>
      </c>
      <c r="K63" s="15">
        <f>J63*C63</f>
        <v>0</v>
      </c>
    </row>
    <row r="64" spans="1:14" outlineLevel="4" x14ac:dyDescent="0.3">
      <c r="A64" s="125"/>
      <c r="B64" s="126"/>
      <c r="C64" s="4">
        <v>2</v>
      </c>
      <c r="D64" s="4">
        <v>55936.34</v>
      </c>
      <c r="E64" s="4" t="s">
        <v>39</v>
      </c>
      <c r="F64" s="4" t="s">
        <v>28</v>
      </c>
      <c r="G64" s="4" t="s">
        <v>47</v>
      </c>
      <c r="H64" s="34">
        <v>0.16700000000000001</v>
      </c>
      <c r="I64" s="4">
        <f t="shared" si="12"/>
        <v>0</v>
      </c>
      <c r="J64" s="6">
        <f t="shared" si="13"/>
        <v>0</v>
      </c>
      <c r="K64" s="15">
        <f>J64*C64</f>
        <v>0</v>
      </c>
    </row>
    <row r="65" spans="1:11" outlineLevel="4" x14ac:dyDescent="0.3">
      <c r="A65" s="125"/>
      <c r="B65" s="126"/>
      <c r="C65" s="4">
        <v>2</v>
      </c>
      <c r="D65" s="4">
        <v>55936.34</v>
      </c>
      <c r="E65" s="4" t="s">
        <v>40</v>
      </c>
      <c r="F65" s="4" t="s">
        <v>28</v>
      </c>
      <c r="G65" s="4" t="s">
        <v>47</v>
      </c>
      <c r="H65" s="34">
        <v>0.16700000000000001</v>
      </c>
      <c r="I65" s="4">
        <f t="shared" si="12"/>
        <v>0</v>
      </c>
      <c r="J65" s="6">
        <f t="shared" si="13"/>
        <v>0</v>
      </c>
      <c r="K65" s="15">
        <f>J65*C65</f>
        <v>0</v>
      </c>
    </row>
    <row r="66" spans="1:11" ht="28" outlineLevel="4" x14ac:dyDescent="0.3">
      <c r="A66" s="125"/>
      <c r="B66" s="126"/>
      <c r="C66" s="4">
        <v>2</v>
      </c>
      <c r="D66" s="4">
        <v>55936.34</v>
      </c>
      <c r="E66" s="4" t="s">
        <v>41</v>
      </c>
      <c r="F66" s="4" t="s">
        <v>27</v>
      </c>
      <c r="G66" s="26" t="s">
        <v>48</v>
      </c>
      <c r="H66" s="34">
        <v>0.16700000000000001</v>
      </c>
      <c r="I66" s="4">
        <f t="shared" si="12"/>
        <v>334948.14371257479</v>
      </c>
      <c r="J66" s="6">
        <f t="shared" si="13"/>
        <v>2.9855367726955327E-6</v>
      </c>
      <c r="K66" s="15">
        <f t="shared" ref="K66:K91" si="14">J66*C66</f>
        <v>5.9710735453910653E-6</v>
      </c>
    </row>
    <row r="67" spans="1:11" outlineLevel="4" x14ac:dyDescent="0.3">
      <c r="A67" s="125"/>
      <c r="B67" s="126"/>
      <c r="C67" s="4">
        <v>2</v>
      </c>
      <c r="D67" s="4">
        <v>55936.34</v>
      </c>
      <c r="E67" s="4" t="s">
        <v>42</v>
      </c>
      <c r="F67" s="4" t="s">
        <v>28</v>
      </c>
      <c r="G67" s="4" t="s">
        <v>47</v>
      </c>
      <c r="H67" s="34">
        <v>0.16700000000000001</v>
      </c>
      <c r="I67" s="4">
        <f t="shared" si="12"/>
        <v>0</v>
      </c>
      <c r="J67" s="6">
        <f t="shared" si="13"/>
        <v>0</v>
      </c>
      <c r="K67" s="15">
        <f t="shared" si="14"/>
        <v>0</v>
      </c>
    </row>
    <row r="68" spans="1:11" outlineLevel="4" x14ac:dyDescent="0.3">
      <c r="A68" s="122"/>
      <c r="B68" s="124"/>
      <c r="C68" s="4">
        <v>2</v>
      </c>
      <c r="D68" s="4">
        <v>55936.34</v>
      </c>
      <c r="E68" s="4" t="s">
        <v>43</v>
      </c>
      <c r="F68" s="4" t="s">
        <v>28</v>
      </c>
      <c r="G68" s="4" t="s">
        <v>47</v>
      </c>
      <c r="H68" s="34">
        <v>0.16700000000000001</v>
      </c>
      <c r="I68" s="4">
        <f t="shared" si="12"/>
        <v>0</v>
      </c>
      <c r="J68" s="6">
        <f t="shared" si="13"/>
        <v>0</v>
      </c>
      <c r="K68" s="15">
        <f t="shared" si="14"/>
        <v>0</v>
      </c>
    </row>
    <row r="69" spans="1:11" outlineLevel="4" x14ac:dyDescent="0.3">
      <c r="A69" s="121" t="s">
        <v>118</v>
      </c>
      <c r="B69" s="123" t="s">
        <v>37</v>
      </c>
      <c r="C69" s="4">
        <v>1</v>
      </c>
      <c r="D69" s="4">
        <v>12490.58</v>
      </c>
      <c r="E69" s="4" t="s">
        <v>38</v>
      </c>
      <c r="F69" s="4" t="s">
        <v>28</v>
      </c>
      <c r="G69" s="4" t="s">
        <v>47</v>
      </c>
      <c r="H69" s="34">
        <v>0.16700000000000001</v>
      </c>
      <c r="I69" s="4">
        <f t="shared" si="12"/>
        <v>0</v>
      </c>
      <c r="J69" s="6">
        <f t="shared" si="13"/>
        <v>0</v>
      </c>
      <c r="K69" s="15">
        <f t="shared" si="14"/>
        <v>0</v>
      </c>
    </row>
    <row r="70" spans="1:11" outlineLevel="4" x14ac:dyDescent="0.3">
      <c r="A70" s="125"/>
      <c r="B70" s="126"/>
      <c r="C70" s="4">
        <v>1</v>
      </c>
      <c r="D70" s="4">
        <v>12490.58</v>
      </c>
      <c r="E70" s="4" t="s">
        <v>39</v>
      </c>
      <c r="F70" s="4" t="s">
        <v>28</v>
      </c>
      <c r="G70" s="4" t="s">
        <v>47</v>
      </c>
      <c r="H70" s="34">
        <v>0.16700000000000001</v>
      </c>
      <c r="I70" s="4">
        <f t="shared" si="12"/>
        <v>0</v>
      </c>
      <c r="J70" s="6">
        <f t="shared" si="13"/>
        <v>0</v>
      </c>
      <c r="K70" s="15">
        <f t="shared" si="14"/>
        <v>0</v>
      </c>
    </row>
    <row r="71" spans="1:11" outlineLevel="4" x14ac:dyDescent="0.3">
      <c r="A71" s="125"/>
      <c r="B71" s="126"/>
      <c r="C71" s="4">
        <v>1</v>
      </c>
      <c r="D71" s="4">
        <v>12490.58</v>
      </c>
      <c r="E71" s="4" t="s">
        <v>40</v>
      </c>
      <c r="F71" s="4" t="s">
        <v>28</v>
      </c>
      <c r="G71" s="4" t="s">
        <v>47</v>
      </c>
      <c r="H71" s="34">
        <v>0.16700000000000001</v>
      </c>
      <c r="I71" s="4">
        <f t="shared" si="12"/>
        <v>0</v>
      </c>
      <c r="J71" s="6">
        <f t="shared" si="13"/>
        <v>0</v>
      </c>
      <c r="K71" s="15">
        <f t="shared" si="14"/>
        <v>0</v>
      </c>
    </row>
    <row r="72" spans="1:11" ht="28" outlineLevel="4" x14ac:dyDescent="0.3">
      <c r="A72" s="125"/>
      <c r="B72" s="126"/>
      <c r="C72" s="4">
        <v>1</v>
      </c>
      <c r="D72" s="4">
        <v>12490.58</v>
      </c>
      <c r="E72" s="4" t="s">
        <v>41</v>
      </c>
      <c r="F72" s="4" t="s">
        <v>27</v>
      </c>
      <c r="G72" s="26" t="s">
        <v>59</v>
      </c>
      <c r="H72" s="34">
        <v>0.16700000000000001</v>
      </c>
      <c r="I72" s="4">
        <f t="shared" si="12"/>
        <v>74793.892215568863</v>
      </c>
      <c r="J72" s="6">
        <f t="shared" si="13"/>
        <v>1.337007568903926E-5</v>
      </c>
      <c r="K72" s="15">
        <f t="shared" si="14"/>
        <v>1.337007568903926E-5</v>
      </c>
    </row>
    <row r="73" spans="1:11" outlineLevel="4" x14ac:dyDescent="0.3">
      <c r="A73" s="125"/>
      <c r="B73" s="126"/>
      <c r="C73" s="4">
        <v>1</v>
      </c>
      <c r="D73" s="4">
        <v>12490.58</v>
      </c>
      <c r="E73" s="4" t="s">
        <v>42</v>
      </c>
      <c r="F73" s="4" t="s">
        <v>28</v>
      </c>
      <c r="G73" s="4" t="s">
        <v>47</v>
      </c>
      <c r="H73" s="34">
        <v>0.16700000000000001</v>
      </c>
      <c r="I73" s="4">
        <f t="shared" si="12"/>
        <v>0</v>
      </c>
      <c r="J73" s="6">
        <f t="shared" si="13"/>
        <v>0</v>
      </c>
      <c r="K73" s="15">
        <f t="shared" si="14"/>
        <v>0</v>
      </c>
    </row>
    <row r="74" spans="1:11" outlineLevel="4" x14ac:dyDescent="0.3">
      <c r="A74" s="122"/>
      <c r="B74" s="124"/>
      <c r="C74" s="4">
        <v>1</v>
      </c>
      <c r="D74" s="4">
        <v>12490.58</v>
      </c>
      <c r="E74" s="4" t="s">
        <v>43</v>
      </c>
      <c r="F74" s="4" t="s">
        <v>179</v>
      </c>
      <c r="G74" s="4" t="s">
        <v>47</v>
      </c>
      <c r="H74" s="34">
        <v>0.16700000000000001</v>
      </c>
      <c r="I74" s="4">
        <f t="shared" si="12"/>
        <v>0</v>
      </c>
      <c r="J74" s="6">
        <f t="shared" si="13"/>
        <v>0</v>
      </c>
      <c r="K74" s="15">
        <f t="shared" si="14"/>
        <v>0</v>
      </c>
    </row>
    <row r="75" spans="1:11" outlineLevel="4" x14ac:dyDescent="0.3">
      <c r="A75" s="121" t="s">
        <v>174</v>
      </c>
      <c r="B75" s="123" t="s">
        <v>49</v>
      </c>
      <c r="C75" s="4">
        <v>2</v>
      </c>
      <c r="D75" s="4">
        <v>114155</v>
      </c>
      <c r="E75" s="4" t="s">
        <v>20</v>
      </c>
      <c r="F75" s="4" t="s">
        <v>28</v>
      </c>
      <c r="G75" s="4" t="s">
        <v>25</v>
      </c>
      <c r="H75" s="5">
        <v>0.5</v>
      </c>
      <c r="I75" s="4">
        <f t="shared" si="12"/>
        <v>0</v>
      </c>
      <c r="J75" s="6">
        <f t="shared" si="13"/>
        <v>0</v>
      </c>
      <c r="K75" s="15">
        <f t="shared" si="14"/>
        <v>0</v>
      </c>
    </row>
    <row r="76" spans="1:11" outlineLevel="4" x14ac:dyDescent="0.3">
      <c r="A76" s="122"/>
      <c r="B76" s="124"/>
      <c r="C76" s="4">
        <v>2</v>
      </c>
      <c r="D76" s="4">
        <v>114155</v>
      </c>
      <c r="E76" s="4" t="s">
        <v>29</v>
      </c>
      <c r="F76" s="4" t="s">
        <v>156</v>
      </c>
      <c r="G76" s="4" t="s">
        <v>47</v>
      </c>
      <c r="H76" s="5">
        <v>0.5</v>
      </c>
      <c r="I76" s="4">
        <f t="shared" si="12"/>
        <v>228310</v>
      </c>
      <c r="J76" s="6">
        <f t="shared" si="13"/>
        <v>4.3800096360211989E-6</v>
      </c>
      <c r="K76" s="15">
        <f t="shared" si="14"/>
        <v>8.7600192720423978E-6</v>
      </c>
    </row>
    <row r="77" spans="1:11" outlineLevel="4" x14ac:dyDescent="0.3">
      <c r="A77" s="121" t="s">
        <v>124</v>
      </c>
      <c r="B77" s="123" t="s">
        <v>191</v>
      </c>
      <c r="C77" s="29">
        <v>1</v>
      </c>
      <c r="D77" s="4">
        <v>16308</v>
      </c>
      <c r="E77" s="4" t="s">
        <v>30</v>
      </c>
      <c r="F77" s="4" t="s">
        <v>157</v>
      </c>
      <c r="G77" s="4" t="s">
        <v>25</v>
      </c>
      <c r="H77" s="5">
        <v>0.5</v>
      </c>
      <c r="I77" s="4">
        <f t="shared" si="12"/>
        <v>0</v>
      </c>
      <c r="J77" s="6">
        <f t="shared" si="13"/>
        <v>0</v>
      </c>
      <c r="K77" s="15">
        <f t="shared" si="14"/>
        <v>0</v>
      </c>
    </row>
    <row r="78" spans="1:11" outlineLevel="4" x14ac:dyDescent="0.3">
      <c r="A78" s="122"/>
      <c r="B78" s="124"/>
      <c r="C78" s="29">
        <v>1</v>
      </c>
      <c r="D78" s="4">
        <v>16308</v>
      </c>
      <c r="E78" s="4" t="s">
        <v>29</v>
      </c>
      <c r="F78" s="4" t="s">
        <v>156</v>
      </c>
      <c r="G78" s="4" t="s">
        <v>47</v>
      </c>
      <c r="H78" s="5">
        <v>0.5</v>
      </c>
      <c r="I78" s="4">
        <f t="shared" si="12"/>
        <v>32616</v>
      </c>
      <c r="J78" s="6">
        <f t="shared" si="13"/>
        <v>3.0659798871719399E-5</v>
      </c>
      <c r="K78" s="15">
        <f t="shared" si="14"/>
        <v>3.0659798871719399E-5</v>
      </c>
    </row>
    <row r="79" spans="1:11" ht="28" outlineLevel="4" x14ac:dyDescent="0.3">
      <c r="A79" s="121" t="s">
        <v>177</v>
      </c>
      <c r="B79" s="123" t="s">
        <v>9</v>
      </c>
      <c r="C79" s="4">
        <v>2</v>
      </c>
      <c r="D79" s="4">
        <v>114155</v>
      </c>
      <c r="E79" s="4" t="s">
        <v>20</v>
      </c>
      <c r="F79" s="4" t="s">
        <v>28</v>
      </c>
      <c r="G79" s="26" t="s">
        <v>58</v>
      </c>
      <c r="H79" s="5">
        <v>0.5</v>
      </c>
      <c r="I79" s="8">
        <f t="shared" si="12"/>
        <v>0</v>
      </c>
      <c r="J79" s="9">
        <f t="shared" si="13"/>
        <v>0</v>
      </c>
      <c r="K79" s="17">
        <f t="shared" si="14"/>
        <v>0</v>
      </c>
    </row>
    <row r="80" spans="1:11" outlineLevel="4" x14ac:dyDescent="0.3">
      <c r="A80" s="122"/>
      <c r="B80" s="124"/>
      <c r="C80" s="4">
        <v>2</v>
      </c>
      <c r="D80" s="4">
        <v>114155</v>
      </c>
      <c r="E80" s="4" t="s">
        <v>29</v>
      </c>
      <c r="F80" s="4" t="s">
        <v>28</v>
      </c>
      <c r="G80" s="4" t="s">
        <v>25</v>
      </c>
      <c r="H80" s="5">
        <v>0.5</v>
      </c>
      <c r="I80" s="8">
        <f>IF(F80="yes",D80/H80,0)</f>
        <v>0</v>
      </c>
      <c r="J80" s="9">
        <f t="shared" si="13"/>
        <v>0</v>
      </c>
      <c r="K80" s="17">
        <f>J80*C80</f>
        <v>0</v>
      </c>
    </row>
    <row r="81" spans="1:11" outlineLevel="4" x14ac:dyDescent="0.3">
      <c r="A81" s="121" t="s">
        <v>180</v>
      </c>
      <c r="B81" s="123" t="s">
        <v>7</v>
      </c>
      <c r="C81" s="4">
        <v>5</v>
      </c>
      <c r="D81" s="4">
        <v>114155</v>
      </c>
      <c r="E81" s="4" t="s">
        <v>20</v>
      </c>
      <c r="F81" s="4" t="s">
        <v>28</v>
      </c>
      <c r="G81" s="4" t="s">
        <v>25</v>
      </c>
      <c r="H81" s="5">
        <v>0.5</v>
      </c>
      <c r="I81" s="4">
        <f t="shared" ref="I81:I82" si="15">IF(F81="yes",D81/H81,0)</f>
        <v>0</v>
      </c>
      <c r="J81" s="6">
        <f t="shared" si="13"/>
        <v>0</v>
      </c>
      <c r="K81" s="15">
        <f t="shared" ref="K81:K82" si="16">J81*C81</f>
        <v>0</v>
      </c>
    </row>
    <row r="82" spans="1:11" outlineLevel="4" x14ac:dyDescent="0.3">
      <c r="A82" s="122"/>
      <c r="B82" s="124"/>
      <c r="C82" s="4">
        <v>5</v>
      </c>
      <c r="D82" s="4">
        <v>114155</v>
      </c>
      <c r="E82" s="4" t="s">
        <v>24</v>
      </c>
      <c r="F82" s="4" t="s">
        <v>28</v>
      </c>
      <c r="G82" s="4" t="s">
        <v>25</v>
      </c>
      <c r="H82" s="5">
        <v>0.5</v>
      </c>
      <c r="I82" s="4">
        <f t="shared" si="15"/>
        <v>0</v>
      </c>
      <c r="J82" s="6">
        <f t="shared" si="13"/>
        <v>0</v>
      </c>
      <c r="K82" s="15">
        <f t="shared" si="16"/>
        <v>0</v>
      </c>
    </row>
    <row r="83" spans="1:11" outlineLevel="4" x14ac:dyDescent="0.3">
      <c r="A83" s="121" t="s">
        <v>181</v>
      </c>
      <c r="B83" s="123" t="s">
        <v>7</v>
      </c>
      <c r="C83" s="4">
        <v>3</v>
      </c>
      <c r="D83" s="4">
        <v>114155</v>
      </c>
      <c r="E83" s="4" t="s">
        <v>20</v>
      </c>
      <c r="F83" s="4" t="s">
        <v>156</v>
      </c>
      <c r="G83" s="4" t="s">
        <v>25</v>
      </c>
      <c r="H83" s="5">
        <v>0.5</v>
      </c>
      <c r="I83" s="4">
        <f t="shared" si="12"/>
        <v>228310</v>
      </c>
      <c r="J83" s="6">
        <f t="shared" si="13"/>
        <v>4.3800096360211989E-6</v>
      </c>
      <c r="K83" s="15">
        <f t="shared" si="14"/>
        <v>1.3140028908063597E-5</v>
      </c>
    </row>
    <row r="84" spans="1:11" outlineLevel="4" x14ac:dyDescent="0.3">
      <c r="A84" s="122"/>
      <c r="B84" s="124"/>
      <c r="C84" s="4">
        <v>3</v>
      </c>
      <c r="D84" s="4">
        <v>114155</v>
      </c>
      <c r="E84" s="4" t="s">
        <v>24</v>
      </c>
      <c r="F84" s="4" t="s">
        <v>28</v>
      </c>
      <c r="G84" s="4" t="s">
        <v>25</v>
      </c>
      <c r="H84" s="5">
        <v>0.5</v>
      </c>
      <c r="I84" s="4">
        <f t="shared" si="12"/>
        <v>0</v>
      </c>
      <c r="J84" s="6">
        <f t="shared" si="13"/>
        <v>0</v>
      </c>
      <c r="K84" s="15">
        <f t="shared" si="14"/>
        <v>0</v>
      </c>
    </row>
    <row r="85" spans="1:11" outlineLevel="4" x14ac:dyDescent="0.3">
      <c r="A85" s="121" t="s">
        <v>128</v>
      </c>
      <c r="B85" s="123" t="s">
        <v>10</v>
      </c>
      <c r="C85" s="4">
        <v>1</v>
      </c>
      <c r="D85" s="4">
        <v>1522</v>
      </c>
      <c r="E85" s="4" t="s">
        <v>50</v>
      </c>
      <c r="F85" s="4" t="s">
        <v>28</v>
      </c>
      <c r="G85" s="4" t="s">
        <v>25</v>
      </c>
      <c r="H85" s="34">
        <v>0.16700000000000001</v>
      </c>
      <c r="I85" s="4">
        <f t="shared" si="12"/>
        <v>0</v>
      </c>
      <c r="J85" s="6">
        <f t="shared" si="13"/>
        <v>0</v>
      </c>
      <c r="K85" s="15">
        <f t="shared" si="14"/>
        <v>0</v>
      </c>
    </row>
    <row r="86" spans="1:11" outlineLevel="4" x14ac:dyDescent="0.3">
      <c r="A86" s="125"/>
      <c r="B86" s="126"/>
      <c r="C86" s="4">
        <v>1</v>
      </c>
      <c r="D86" s="4">
        <v>1522</v>
      </c>
      <c r="E86" s="4" t="s">
        <v>51</v>
      </c>
      <c r="F86" s="4" t="s">
        <v>28</v>
      </c>
      <c r="G86" s="4" t="s">
        <v>25</v>
      </c>
      <c r="H86" s="34">
        <v>0.16700000000000001</v>
      </c>
      <c r="I86" s="4">
        <f t="shared" si="12"/>
        <v>0</v>
      </c>
      <c r="J86" s="6">
        <f t="shared" si="13"/>
        <v>0</v>
      </c>
      <c r="K86" s="15">
        <f t="shared" si="14"/>
        <v>0</v>
      </c>
    </row>
    <row r="87" spans="1:11" outlineLevel="4" x14ac:dyDescent="0.3">
      <c r="A87" s="125"/>
      <c r="B87" s="126"/>
      <c r="C87" s="4">
        <v>1</v>
      </c>
      <c r="D87" s="4">
        <v>1522</v>
      </c>
      <c r="E87" s="4" t="s">
        <v>52</v>
      </c>
      <c r="F87" s="4" t="s">
        <v>28</v>
      </c>
      <c r="G87" s="4" t="s">
        <v>25</v>
      </c>
      <c r="H87" s="34">
        <v>0.16700000000000001</v>
      </c>
      <c r="I87" s="4">
        <f t="shared" si="12"/>
        <v>0</v>
      </c>
      <c r="J87" s="6">
        <f t="shared" si="13"/>
        <v>0</v>
      </c>
      <c r="K87" s="15">
        <f t="shared" si="14"/>
        <v>0</v>
      </c>
    </row>
    <row r="88" spans="1:11" ht="28" outlineLevel="4" x14ac:dyDescent="0.3">
      <c r="A88" s="125"/>
      <c r="B88" s="126"/>
      <c r="C88" s="4">
        <v>1</v>
      </c>
      <c r="D88" s="4">
        <v>1522</v>
      </c>
      <c r="E88" s="4" t="s">
        <v>53</v>
      </c>
      <c r="F88" s="4" t="s">
        <v>156</v>
      </c>
      <c r="G88" s="26" t="s">
        <v>56</v>
      </c>
      <c r="H88" s="34">
        <v>0.16700000000000001</v>
      </c>
      <c r="I88" s="4">
        <f t="shared" si="12"/>
        <v>9113.7724550898201</v>
      </c>
      <c r="J88" s="6">
        <f t="shared" si="13"/>
        <v>1.0972404730617609E-4</v>
      </c>
      <c r="K88" s="15">
        <f t="shared" si="14"/>
        <v>1.0972404730617609E-4</v>
      </c>
    </row>
    <row r="89" spans="1:11" ht="28" outlineLevel="4" x14ac:dyDescent="0.3">
      <c r="A89" s="125"/>
      <c r="B89" s="126"/>
      <c r="C89" s="4">
        <v>1</v>
      </c>
      <c r="D89" s="4">
        <v>1522</v>
      </c>
      <c r="E89" s="4" t="s">
        <v>54</v>
      </c>
      <c r="F89" s="4" t="s">
        <v>156</v>
      </c>
      <c r="G89" s="26" t="s">
        <v>57</v>
      </c>
      <c r="H89" s="34">
        <v>0.16700000000000001</v>
      </c>
      <c r="I89" s="4">
        <f t="shared" si="12"/>
        <v>9113.7724550898201</v>
      </c>
      <c r="J89" s="6">
        <f t="shared" si="13"/>
        <v>1.0972404730617609E-4</v>
      </c>
      <c r="K89" s="15">
        <f t="shared" si="14"/>
        <v>1.0972404730617609E-4</v>
      </c>
    </row>
    <row r="90" spans="1:11" ht="28" outlineLevel="4" x14ac:dyDescent="0.3">
      <c r="A90" s="122"/>
      <c r="B90" s="124"/>
      <c r="C90" s="4">
        <v>1</v>
      </c>
      <c r="D90" s="4">
        <v>1522</v>
      </c>
      <c r="E90" s="4" t="s">
        <v>55</v>
      </c>
      <c r="F90" s="4" t="s">
        <v>156</v>
      </c>
      <c r="G90" s="26" t="s">
        <v>57</v>
      </c>
      <c r="H90" s="34">
        <v>0.16700000000000001</v>
      </c>
      <c r="I90" s="4">
        <f t="shared" si="12"/>
        <v>9113.7724550898201</v>
      </c>
      <c r="J90" s="6">
        <f t="shared" si="13"/>
        <v>1.0972404730617609E-4</v>
      </c>
      <c r="K90" s="15">
        <f t="shared" si="14"/>
        <v>1.0972404730617609E-4</v>
      </c>
    </row>
    <row r="91" spans="1:11" ht="28" outlineLevel="4" x14ac:dyDescent="0.3">
      <c r="A91" s="121" t="s">
        <v>119</v>
      </c>
      <c r="B91" s="123" t="s">
        <v>9</v>
      </c>
      <c r="C91" s="4">
        <v>2</v>
      </c>
      <c r="D91" s="4">
        <v>114155</v>
      </c>
      <c r="E91" s="4" t="s">
        <v>20</v>
      </c>
      <c r="F91" s="4" t="s">
        <v>28</v>
      </c>
      <c r="G91" s="26" t="s">
        <v>58</v>
      </c>
      <c r="H91" s="5">
        <v>0.5</v>
      </c>
      <c r="I91" s="8">
        <f t="shared" si="12"/>
        <v>0</v>
      </c>
      <c r="J91" s="9">
        <f t="shared" si="13"/>
        <v>0</v>
      </c>
      <c r="K91" s="17">
        <f t="shared" si="14"/>
        <v>0</v>
      </c>
    </row>
    <row r="92" spans="1:11" outlineLevel="4" x14ac:dyDescent="0.3">
      <c r="A92" s="122"/>
      <c r="B92" s="124"/>
      <c r="C92" s="4">
        <v>2</v>
      </c>
      <c r="D92" s="4">
        <v>114155</v>
      </c>
      <c r="E92" s="4" t="s">
        <v>29</v>
      </c>
      <c r="F92" s="4" t="s">
        <v>28</v>
      </c>
      <c r="G92" s="4" t="s">
        <v>25</v>
      </c>
      <c r="H92" s="5">
        <v>0.5</v>
      </c>
      <c r="I92" s="8">
        <f>IF(F92="yes",D92/H92,0)</f>
        <v>0</v>
      </c>
      <c r="J92" s="9">
        <f t="shared" si="13"/>
        <v>0</v>
      </c>
      <c r="K92" s="17">
        <f>J92*C92</f>
        <v>0</v>
      </c>
    </row>
    <row r="93" spans="1:11" outlineLevel="4" x14ac:dyDescent="0.3">
      <c r="A93" s="121" t="s">
        <v>175</v>
      </c>
      <c r="B93" s="123" t="s">
        <v>37</v>
      </c>
      <c r="C93" s="4">
        <v>2</v>
      </c>
      <c r="D93" s="4">
        <v>6216.8</v>
      </c>
      <c r="E93" s="4" t="s">
        <v>38</v>
      </c>
      <c r="F93" s="4" t="s">
        <v>28</v>
      </c>
      <c r="G93" s="4" t="s">
        <v>47</v>
      </c>
      <c r="H93" s="34">
        <v>0.16700000000000001</v>
      </c>
      <c r="I93" s="4">
        <f t="shared" ref="I93:I119" si="17">IF(F93="yes",D93/H93,0)</f>
        <v>0</v>
      </c>
      <c r="J93" s="6">
        <f t="shared" si="13"/>
        <v>0</v>
      </c>
      <c r="K93" s="15">
        <f t="shared" ref="K93:K116" si="18">J93*C93</f>
        <v>0</v>
      </c>
    </row>
    <row r="94" spans="1:11" outlineLevel="4" x14ac:dyDescent="0.3">
      <c r="A94" s="125"/>
      <c r="B94" s="126"/>
      <c r="C94" s="4">
        <v>2</v>
      </c>
      <c r="D94" s="4">
        <v>6216.8</v>
      </c>
      <c r="E94" s="4" t="s">
        <v>39</v>
      </c>
      <c r="F94" s="4" t="s">
        <v>28</v>
      </c>
      <c r="G94" s="4" t="s">
        <v>47</v>
      </c>
      <c r="H94" s="34">
        <v>0.16700000000000001</v>
      </c>
      <c r="I94" s="4">
        <f t="shared" si="17"/>
        <v>0</v>
      </c>
      <c r="J94" s="6">
        <f t="shared" si="13"/>
        <v>0</v>
      </c>
      <c r="K94" s="15">
        <f t="shared" si="18"/>
        <v>0</v>
      </c>
    </row>
    <row r="95" spans="1:11" outlineLevel="4" x14ac:dyDescent="0.3">
      <c r="A95" s="125"/>
      <c r="B95" s="126"/>
      <c r="C95" s="4">
        <v>2</v>
      </c>
      <c r="D95" s="4">
        <v>6216.8</v>
      </c>
      <c r="E95" s="4" t="s">
        <v>40</v>
      </c>
      <c r="F95" s="4" t="s">
        <v>28</v>
      </c>
      <c r="G95" s="4" t="s">
        <v>47</v>
      </c>
      <c r="H95" s="34">
        <v>0.16700000000000001</v>
      </c>
      <c r="I95" s="4">
        <f t="shared" si="17"/>
        <v>0</v>
      </c>
      <c r="J95" s="6">
        <f t="shared" si="13"/>
        <v>0</v>
      </c>
      <c r="K95" s="15">
        <f t="shared" si="18"/>
        <v>0</v>
      </c>
    </row>
    <row r="96" spans="1:11" ht="28" outlineLevel="4" x14ac:dyDescent="0.3">
      <c r="A96" s="125"/>
      <c r="B96" s="126"/>
      <c r="C96" s="4">
        <v>2</v>
      </c>
      <c r="D96" s="4">
        <v>6216.8</v>
      </c>
      <c r="E96" s="4" t="s">
        <v>41</v>
      </c>
      <c r="F96" s="4" t="s">
        <v>27</v>
      </c>
      <c r="G96" s="26" t="s">
        <v>59</v>
      </c>
      <c r="H96" s="34">
        <v>0.16700000000000001</v>
      </c>
      <c r="I96" s="4">
        <f t="shared" si="17"/>
        <v>37226.347305389223</v>
      </c>
      <c r="J96" s="6">
        <f t="shared" si="13"/>
        <v>2.6862694633895249E-5</v>
      </c>
      <c r="K96" s="15">
        <f t="shared" si="18"/>
        <v>5.3725389267790499E-5</v>
      </c>
    </row>
    <row r="97" spans="1:11" outlineLevel="4" x14ac:dyDescent="0.3">
      <c r="A97" s="125"/>
      <c r="B97" s="126"/>
      <c r="C97" s="4">
        <v>2</v>
      </c>
      <c r="D97" s="4">
        <v>6216.8</v>
      </c>
      <c r="E97" s="4" t="s">
        <v>42</v>
      </c>
      <c r="F97" s="4" t="s">
        <v>28</v>
      </c>
      <c r="G97" s="4" t="s">
        <v>47</v>
      </c>
      <c r="H97" s="34">
        <v>0.16700000000000001</v>
      </c>
      <c r="I97" s="4">
        <f t="shared" si="17"/>
        <v>0</v>
      </c>
      <c r="J97" s="6">
        <f t="shared" si="13"/>
        <v>0</v>
      </c>
      <c r="K97" s="15">
        <f t="shared" si="18"/>
        <v>0</v>
      </c>
    </row>
    <row r="98" spans="1:11" outlineLevel="4" x14ac:dyDescent="0.3">
      <c r="A98" s="122"/>
      <c r="B98" s="124"/>
      <c r="C98" s="4">
        <v>2</v>
      </c>
      <c r="D98" s="4">
        <v>6216.8</v>
      </c>
      <c r="E98" s="4" t="s">
        <v>43</v>
      </c>
      <c r="F98" s="4" t="s">
        <v>28</v>
      </c>
      <c r="G98" s="4" t="s">
        <v>47</v>
      </c>
      <c r="H98" s="34">
        <v>0.16700000000000001</v>
      </c>
      <c r="I98" s="4">
        <f t="shared" si="17"/>
        <v>0</v>
      </c>
      <c r="J98" s="6">
        <f t="shared" si="13"/>
        <v>0</v>
      </c>
      <c r="K98" s="15">
        <f t="shared" si="18"/>
        <v>0</v>
      </c>
    </row>
    <row r="99" spans="1:11" outlineLevel="4" x14ac:dyDescent="0.3">
      <c r="A99" s="121" t="s">
        <v>189</v>
      </c>
      <c r="B99" s="123" t="s">
        <v>37</v>
      </c>
      <c r="C99" s="4">
        <v>3</v>
      </c>
      <c r="D99" s="4">
        <v>1903</v>
      </c>
      <c r="E99" s="4" t="s">
        <v>38</v>
      </c>
      <c r="F99" s="4" t="s">
        <v>28</v>
      </c>
      <c r="G99" s="4" t="s">
        <v>47</v>
      </c>
      <c r="H99" s="34">
        <v>0.16700000000000001</v>
      </c>
      <c r="I99" s="4">
        <f t="shared" si="17"/>
        <v>0</v>
      </c>
      <c r="J99" s="6">
        <f t="shared" si="13"/>
        <v>0</v>
      </c>
      <c r="K99" s="15">
        <f t="shared" si="18"/>
        <v>0</v>
      </c>
    </row>
    <row r="100" spans="1:11" s="74" customFormat="1" outlineLevel="4" x14ac:dyDescent="0.3">
      <c r="A100" s="125"/>
      <c r="B100" s="126"/>
      <c r="C100" s="4">
        <v>3</v>
      </c>
      <c r="D100" s="4">
        <v>1903</v>
      </c>
      <c r="E100" s="4" t="s">
        <v>39</v>
      </c>
      <c r="F100" s="4" t="s">
        <v>28</v>
      </c>
      <c r="G100" s="4" t="s">
        <v>47</v>
      </c>
      <c r="H100" s="34">
        <v>0.16700000000000001</v>
      </c>
      <c r="I100" s="4">
        <f t="shared" si="17"/>
        <v>0</v>
      </c>
      <c r="J100" s="6">
        <f t="shared" si="13"/>
        <v>0</v>
      </c>
      <c r="K100" s="15">
        <f t="shared" si="18"/>
        <v>0</v>
      </c>
    </row>
    <row r="101" spans="1:11" outlineLevel="4" x14ac:dyDescent="0.3">
      <c r="A101" s="125"/>
      <c r="B101" s="126"/>
      <c r="C101" s="4">
        <v>3</v>
      </c>
      <c r="D101" s="4">
        <v>1903</v>
      </c>
      <c r="E101" s="4" t="s">
        <v>40</v>
      </c>
      <c r="F101" s="4" t="s">
        <v>28</v>
      </c>
      <c r="G101" s="4" t="s">
        <v>47</v>
      </c>
      <c r="H101" s="34">
        <v>0.16700000000000001</v>
      </c>
      <c r="I101" s="4">
        <f t="shared" si="17"/>
        <v>0</v>
      </c>
      <c r="J101" s="6">
        <f t="shared" si="13"/>
        <v>0</v>
      </c>
      <c r="K101" s="15">
        <f t="shared" si="18"/>
        <v>0</v>
      </c>
    </row>
    <row r="102" spans="1:11" outlineLevel="4" x14ac:dyDescent="0.3">
      <c r="A102" s="125"/>
      <c r="B102" s="126"/>
      <c r="C102" s="4">
        <v>3</v>
      </c>
      <c r="D102" s="4">
        <v>1903</v>
      </c>
      <c r="E102" s="4" t="s">
        <v>41</v>
      </c>
      <c r="F102" s="4" t="s">
        <v>27</v>
      </c>
      <c r="G102" s="4" t="s">
        <v>47</v>
      </c>
      <c r="H102" s="34">
        <v>0.16700000000000001</v>
      </c>
      <c r="I102" s="4">
        <f t="shared" si="17"/>
        <v>11395.209580838322</v>
      </c>
      <c r="J102" s="6">
        <f t="shared" si="13"/>
        <v>8.7756174461376787E-5</v>
      </c>
      <c r="K102" s="15">
        <f t="shared" si="18"/>
        <v>2.6326852338413035E-4</v>
      </c>
    </row>
    <row r="103" spans="1:11" outlineLevel="4" x14ac:dyDescent="0.3">
      <c r="A103" s="125"/>
      <c r="B103" s="126"/>
      <c r="C103" s="4">
        <v>3</v>
      </c>
      <c r="D103" s="4">
        <v>1903</v>
      </c>
      <c r="E103" s="4" t="s">
        <v>42</v>
      </c>
      <c r="F103" s="4" t="s">
        <v>28</v>
      </c>
      <c r="G103" s="4" t="s">
        <v>47</v>
      </c>
      <c r="H103" s="34">
        <v>0.16700000000000001</v>
      </c>
      <c r="I103" s="4">
        <f t="shared" si="17"/>
        <v>0</v>
      </c>
      <c r="J103" s="6">
        <f t="shared" si="13"/>
        <v>0</v>
      </c>
      <c r="K103" s="15">
        <f t="shared" si="18"/>
        <v>0</v>
      </c>
    </row>
    <row r="104" spans="1:11" outlineLevel="4" x14ac:dyDescent="0.3">
      <c r="A104" s="122"/>
      <c r="B104" s="124"/>
      <c r="C104" s="4">
        <v>3</v>
      </c>
      <c r="D104" s="4">
        <v>1903</v>
      </c>
      <c r="E104" s="4" t="s">
        <v>43</v>
      </c>
      <c r="F104" s="4" t="s">
        <v>28</v>
      </c>
      <c r="G104" s="4" t="s">
        <v>47</v>
      </c>
      <c r="H104" s="34">
        <v>0.16700000000000001</v>
      </c>
      <c r="I104" s="4">
        <f t="shared" si="17"/>
        <v>0</v>
      </c>
      <c r="J104" s="6">
        <f t="shared" si="13"/>
        <v>0</v>
      </c>
      <c r="K104" s="15">
        <f t="shared" si="18"/>
        <v>0</v>
      </c>
    </row>
    <row r="105" spans="1:11" outlineLevel="4" x14ac:dyDescent="0.3">
      <c r="A105" s="121" t="s">
        <v>121</v>
      </c>
      <c r="B105" s="123" t="s">
        <v>49</v>
      </c>
      <c r="C105" s="4">
        <v>1</v>
      </c>
      <c r="D105" s="4">
        <v>114155</v>
      </c>
      <c r="E105" s="4" t="s">
        <v>20</v>
      </c>
      <c r="F105" s="4" t="s">
        <v>28</v>
      </c>
      <c r="G105" s="4" t="s">
        <v>25</v>
      </c>
      <c r="H105" s="5">
        <v>0.5</v>
      </c>
      <c r="I105" s="4">
        <f t="shared" si="17"/>
        <v>0</v>
      </c>
      <c r="J105" s="6">
        <f t="shared" si="13"/>
        <v>0</v>
      </c>
      <c r="K105" s="15">
        <f t="shared" si="18"/>
        <v>0</v>
      </c>
    </row>
    <row r="106" spans="1:11" outlineLevel="4" x14ac:dyDescent="0.3">
      <c r="A106" s="122"/>
      <c r="B106" s="124"/>
      <c r="C106" s="4">
        <v>1</v>
      </c>
      <c r="D106" s="4">
        <v>114155</v>
      </c>
      <c r="E106" s="4" t="s">
        <v>29</v>
      </c>
      <c r="F106" s="4" t="s">
        <v>27</v>
      </c>
      <c r="G106" s="4" t="s">
        <v>47</v>
      </c>
      <c r="H106" s="5">
        <v>0.5</v>
      </c>
      <c r="I106" s="4">
        <f t="shared" si="17"/>
        <v>228310</v>
      </c>
      <c r="J106" s="6">
        <f t="shared" si="13"/>
        <v>4.3800096360211989E-6</v>
      </c>
      <c r="K106" s="15">
        <f t="shared" si="18"/>
        <v>4.3800096360211989E-6</v>
      </c>
    </row>
    <row r="107" spans="1:11" outlineLevel="4" x14ac:dyDescent="0.3">
      <c r="A107" s="121" t="s">
        <v>190</v>
      </c>
      <c r="B107" s="123" t="s">
        <v>191</v>
      </c>
      <c r="C107" s="4">
        <v>1</v>
      </c>
      <c r="D107" s="4">
        <v>16308</v>
      </c>
      <c r="E107" s="4" t="s">
        <v>20</v>
      </c>
      <c r="F107" s="4" t="s">
        <v>28</v>
      </c>
      <c r="G107" s="4" t="s">
        <v>25</v>
      </c>
      <c r="H107" s="5">
        <v>0.5</v>
      </c>
      <c r="I107" s="4">
        <f t="shared" si="17"/>
        <v>0</v>
      </c>
      <c r="J107" s="6">
        <f t="shared" si="13"/>
        <v>0</v>
      </c>
      <c r="K107" s="15">
        <f t="shared" si="18"/>
        <v>0</v>
      </c>
    </row>
    <row r="108" spans="1:11" outlineLevel="4" x14ac:dyDescent="0.3">
      <c r="A108" s="122"/>
      <c r="B108" s="124"/>
      <c r="C108" s="4">
        <v>1</v>
      </c>
      <c r="D108" s="4">
        <v>16308</v>
      </c>
      <c r="E108" s="4" t="s">
        <v>29</v>
      </c>
      <c r="F108" s="4" t="s">
        <v>27</v>
      </c>
      <c r="G108" s="4" t="s">
        <v>47</v>
      </c>
      <c r="H108" s="5">
        <v>0.5</v>
      </c>
      <c r="I108" s="4">
        <f t="shared" si="17"/>
        <v>32616</v>
      </c>
      <c r="J108" s="6">
        <f t="shared" si="13"/>
        <v>3.0659798871719399E-5</v>
      </c>
      <c r="K108" s="15">
        <f t="shared" si="18"/>
        <v>3.0659798871719399E-5</v>
      </c>
    </row>
    <row r="109" spans="1:11" outlineLevel="4" x14ac:dyDescent="0.3">
      <c r="A109" s="121" t="s">
        <v>196</v>
      </c>
      <c r="B109" s="123" t="s">
        <v>191</v>
      </c>
      <c r="C109" s="4">
        <v>1</v>
      </c>
      <c r="D109" s="4">
        <v>16308</v>
      </c>
      <c r="E109" s="4" t="s">
        <v>20</v>
      </c>
      <c r="F109" s="4" t="s">
        <v>28</v>
      </c>
      <c r="G109" s="4" t="s">
        <v>25</v>
      </c>
      <c r="H109" s="5">
        <v>0.5</v>
      </c>
      <c r="I109" s="4">
        <f t="shared" si="17"/>
        <v>0</v>
      </c>
      <c r="J109" s="6">
        <f t="shared" si="13"/>
        <v>0</v>
      </c>
      <c r="K109" s="15">
        <f t="shared" si="18"/>
        <v>0</v>
      </c>
    </row>
    <row r="110" spans="1:11" outlineLevel="4" x14ac:dyDescent="0.3">
      <c r="A110" s="122"/>
      <c r="B110" s="124"/>
      <c r="C110" s="4">
        <v>1</v>
      </c>
      <c r="D110" s="4">
        <v>16308</v>
      </c>
      <c r="E110" s="4" t="s">
        <v>29</v>
      </c>
      <c r="F110" s="4" t="s">
        <v>27</v>
      </c>
      <c r="G110" s="4" t="s">
        <v>47</v>
      </c>
      <c r="H110" s="5">
        <v>0.5</v>
      </c>
      <c r="I110" s="4">
        <f t="shared" si="17"/>
        <v>32616</v>
      </c>
      <c r="J110" s="6">
        <f t="shared" si="13"/>
        <v>3.0659798871719399E-5</v>
      </c>
      <c r="K110" s="15">
        <f t="shared" si="18"/>
        <v>3.0659798871719399E-5</v>
      </c>
    </row>
    <row r="111" spans="1:11" outlineLevel="4" x14ac:dyDescent="0.3">
      <c r="A111" s="121" t="s">
        <v>192</v>
      </c>
      <c r="B111" s="123" t="s">
        <v>7</v>
      </c>
      <c r="C111" s="4">
        <v>3</v>
      </c>
      <c r="D111" s="4">
        <v>114155</v>
      </c>
      <c r="E111" s="4" t="s">
        <v>20</v>
      </c>
      <c r="F111" s="4" t="s">
        <v>28</v>
      </c>
      <c r="G111" s="4" t="s">
        <v>25</v>
      </c>
      <c r="H111" s="5">
        <v>0.5</v>
      </c>
      <c r="I111" s="4">
        <f t="shared" si="17"/>
        <v>0</v>
      </c>
      <c r="J111" s="6">
        <f t="shared" si="13"/>
        <v>0</v>
      </c>
      <c r="K111" s="15">
        <f t="shared" si="18"/>
        <v>0</v>
      </c>
    </row>
    <row r="112" spans="1:11" outlineLevel="4" x14ac:dyDescent="0.3">
      <c r="A112" s="122"/>
      <c r="B112" s="124"/>
      <c r="C112" s="4">
        <v>3</v>
      </c>
      <c r="D112" s="4">
        <v>114155</v>
      </c>
      <c r="E112" s="4" t="s">
        <v>24</v>
      </c>
      <c r="F112" s="4" t="s">
        <v>28</v>
      </c>
      <c r="G112" s="4" t="s">
        <v>25</v>
      </c>
      <c r="H112" s="5">
        <v>0.5</v>
      </c>
      <c r="I112" s="4">
        <f t="shared" si="17"/>
        <v>0</v>
      </c>
      <c r="J112" s="6">
        <f t="shared" si="13"/>
        <v>0</v>
      </c>
      <c r="K112" s="15">
        <f t="shared" si="18"/>
        <v>0</v>
      </c>
    </row>
    <row r="113" spans="1:14" outlineLevel="4" x14ac:dyDescent="0.3">
      <c r="A113" s="121" t="s">
        <v>193</v>
      </c>
      <c r="B113" s="123" t="s">
        <v>7</v>
      </c>
      <c r="C113" s="4">
        <v>5</v>
      </c>
      <c r="D113" s="4">
        <v>114155</v>
      </c>
      <c r="E113" s="4" t="s">
        <v>20</v>
      </c>
      <c r="F113" s="4" t="s">
        <v>27</v>
      </c>
      <c r="G113" s="4" t="s">
        <v>47</v>
      </c>
      <c r="H113" s="5">
        <v>0.7</v>
      </c>
      <c r="I113" s="4">
        <f t="shared" si="17"/>
        <v>163078.57142857145</v>
      </c>
      <c r="J113" s="6">
        <f t="shared" si="13"/>
        <v>6.1320134904296781E-6</v>
      </c>
      <c r="K113" s="15">
        <f t="shared" si="18"/>
        <v>3.0660067452148394E-5</v>
      </c>
    </row>
    <row r="114" spans="1:14" outlineLevel="4" x14ac:dyDescent="0.3">
      <c r="A114" s="122"/>
      <c r="B114" s="124"/>
      <c r="C114" s="4">
        <v>5</v>
      </c>
      <c r="D114" s="4">
        <v>114155</v>
      </c>
      <c r="E114" s="4" t="s">
        <v>24</v>
      </c>
      <c r="F114" s="4" t="s">
        <v>28</v>
      </c>
      <c r="G114" s="4" t="s">
        <v>25</v>
      </c>
      <c r="H114" s="5">
        <v>0.3</v>
      </c>
      <c r="I114" s="4">
        <f t="shared" si="17"/>
        <v>0</v>
      </c>
      <c r="J114" s="6">
        <f t="shared" si="13"/>
        <v>0</v>
      </c>
      <c r="K114" s="15">
        <f t="shared" si="18"/>
        <v>0</v>
      </c>
    </row>
    <row r="115" spans="1:14" outlineLevel="4" x14ac:dyDescent="0.3">
      <c r="A115" s="24"/>
      <c r="B115" s="25"/>
      <c r="C115" s="4">
        <v>1</v>
      </c>
      <c r="D115" s="4">
        <v>114155</v>
      </c>
      <c r="E115" s="4" t="s">
        <v>24</v>
      </c>
      <c r="F115" s="4" t="s">
        <v>28</v>
      </c>
      <c r="G115" s="4" t="s">
        <v>25</v>
      </c>
      <c r="H115" s="5">
        <v>0.3</v>
      </c>
      <c r="I115" s="4">
        <f t="shared" si="17"/>
        <v>0</v>
      </c>
      <c r="J115" s="6">
        <f t="shared" si="13"/>
        <v>0</v>
      </c>
      <c r="K115" s="15">
        <f t="shared" si="18"/>
        <v>0</v>
      </c>
    </row>
    <row r="116" spans="1:14" ht="28" outlineLevel="4" x14ac:dyDescent="0.3">
      <c r="A116" s="121" t="s">
        <v>194</v>
      </c>
      <c r="B116" s="123" t="s">
        <v>9</v>
      </c>
      <c r="C116" s="4">
        <v>2</v>
      </c>
      <c r="D116" s="4">
        <v>114155</v>
      </c>
      <c r="E116" s="4" t="s">
        <v>20</v>
      </c>
      <c r="F116" s="4" t="s">
        <v>28</v>
      </c>
      <c r="G116" s="26" t="s">
        <v>58</v>
      </c>
      <c r="H116" s="5">
        <v>0.5</v>
      </c>
      <c r="I116" s="8">
        <f t="shared" si="17"/>
        <v>0</v>
      </c>
      <c r="J116" s="9">
        <f t="shared" si="13"/>
        <v>0</v>
      </c>
      <c r="K116" s="17">
        <f t="shared" si="18"/>
        <v>0</v>
      </c>
    </row>
    <row r="117" spans="1:14" outlineLevel="4" x14ac:dyDescent="0.3">
      <c r="A117" s="122"/>
      <c r="B117" s="124"/>
      <c r="C117" s="4">
        <v>2</v>
      </c>
      <c r="D117" s="4">
        <v>114155</v>
      </c>
      <c r="E117" s="4" t="s">
        <v>29</v>
      </c>
      <c r="F117" s="4" t="s">
        <v>28</v>
      </c>
      <c r="G117" s="4" t="s">
        <v>25</v>
      </c>
      <c r="H117" s="5">
        <v>0.5</v>
      </c>
      <c r="I117" s="8">
        <f t="shared" si="17"/>
        <v>0</v>
      </c>
      <c r="J117" s="9">
        <f t="shared" si="13"/>
        <v>0</v>
      </c>
      <c r="K117" s="17">
        <f>J117*C117</f>
        <v>0</v>
      </c>
    </row>
    <row r="118" spans="1:14" outlineLevel="4" x14ac:dyDescent="0.3">
      <c r="A118" s="121" t="s">
        <v>195</v>
      </c>
      <c r="B118" s="123" t="s">
        <v>8</v>
      </c>
      <c r="C118" s="4">
        <v>4</v>
      </c>
      <c r="D118" s="28">
        <v>22831</v>
      </c>
      <c r="E118" s="4" t="s">
        <v>20</v>
      </c>
      <c r="F118" s="4" t="s">
        <v>28</v>
      </c>
      <c r="G118" s="4" t="s">
        <v>25</v>
      </c>
      <c r="H118" s="5">
        <v>0.5</v>
      </c>
      <c r="I118" s="4">
        <f t="shared" si="17"/>
        <v>0</v>
      </c>
      <c r="J118" s="6">
        <f t="shared" si="13"/>
        <v>0</v>
      </c>
      <c r="K118" s="15">
        <f>J118*C118</f>
        <v>0</v>
      </c>
    </row>
    <row r="119" spans="1:14" outlineLevel="4" x14ac:dyDescent="0.3">
      <c r="A119" s="122"/>
      <c r="B119" s="124"/>
      <c r="C119" s="4">
        <v>4</v>
      </c>
      <c r="D119" s="28">
        <v>22831</v>
      </c>
      <c r="E119" s="4" t="s">
        <v>29</v>
      </c>
      <c r="F119" s="4" t="s">
        <v>28</v>
      </c>
      <c r="G119" s="4" t="s">
        <v>25</v>
      </c>
      <c r="H119" s="5">
        <v>0.5</v>
      </c>
      <c r="I119" s="4">
        <f t="shared" si="17"/>
        <v>0</v>
      </c>
      <c r="J119" s="6">
        <f t="shared" si="13"/>
        <v>0</v>
      </c>
      <c r="K119" s="15">
        <f>J119*C119</f>
        <v>0</v>
      </c>
    </row>
    <row r="120" spans="1:14" ht="14.5" outlineLevel="4" thickBot="1" x14ac:dyDescent="0.35">
      <c r="A120" s="18"/>
      <c r="B120" s="19"/>
      <c r="C120" s="19"/>
      <c r="D120" s="19"/>
      <c r="E120" s="19"/>
      <c r="F120" s="19"/>
      <c r="G120" s="19"/>
      <c r="H120" s="20"/>
      <c r="I120" s="20"/>
      <c r="J120" s="20"/>
      <c r="K120" s="21">
        <f>1/SUM(K61:K119)</f>
        <v>1227.8575450171402</v>
      </c>
      <c r="L120">
        <f>1/K120</f>
        <v>8.1442672568831308E-4</v>
      </c>
      <c r="M120">
        <v>0.9</v>
      </c>
      <c r="N120">
        <f>L120*M120</f>
        <v>7.329840531194818E-4</v>
      </c>
    </row>
    <row r="121" spans="1:14" ht="17.5" x14ac:dyDescent="0.35">
      <c r="A121" s="133" t="s">
        <v>17</v>
      </c>
      <c r="B121" s="134"/>
      <c r="C121" s="134"/>
      <c r="D121" s="134"/>
      <c r="E121" s="134"/>
      <c r="F121" s="134"/>
      <c r="G121" s="134"/>
      <c r="H121" s="134"/>
      <c r="I121" s="134"/>
      <c r="J121" s="134"/>
      <c r="K121" s="135"/>
    </row>
    <row r="122" spans="1:14" outlineLevel="1" x14ac:dyDescent="0.3">
      <c r="A122" s="11" t="s">
        <v>13</v>
      </c>
      <c r="B122" s="1" t="s">
        <v>4</v>
      </c>
      <c r="C122" s="1" t="s">
        <v>5</v>
      </c>
      <c r="D122" s="1" t="s">
        <v>12</v>
      </c>
      <c r="E122" s="1" t="s">
        <v>19</v>
      </c>
      <c r="F122" s="1" t="s">
        <v>26</v>
      </c>
      <c r="G122" s="1" t="s">
        <v>21</v>
      </c>
      <c r="H122" s="1" t="s">
        <v>6</v>
      </c>
      <c r="I122" s="1" t="s">
        <v>14</v>
      </c>
      <c r="J122" s="1" t="s">
        <v>15</v>
      </c>
      <c r="K122" s="12" t="s">
        <v>16</v>
      </c>
    </row>
    <row r="123" spans="1:14" outlineLevel="1" x14ac:dyDescent="0.3">
      <c r="A123" s="119" t="s">
        <v>198</v>
      </c>
      <c r="B123" s="103" t="s">
        <v>7</v>
      </c>
      <c r="C123" s="1">
        <v>1</v>
      </c>
      <c r="D123" s="1">
        <v>114155</v>
      </c>
      <c r="E123" s="1" t="s">
        <v>20</v>
      </c>
      <c r="F123" s="1" t="s">
        <v>28</v>
      </c>
      <c r="G123" s="1" t="s">
        <v>25</v>
      </c>
      <c r="H123" s="3">
        <v>0.7</v>
      </c>
      <c r="I123" s="1">
        <f t="shared" ref="I123:I190" si="19">IF(F123="yes",D123/H123,0)</f>
        <v>0</v>
      </c>
      <c r="J123" s="10">
        <f t="shared" ref="J123:J217" si="20">IF(I123= 0,0,1/I123)</f>
        <v>0</v>
      </c>
      <c r="K123" s="10">
        <f t="shared" ref="K123:K190" si="21">J123*C123</f>
        <v>0</v>
      </c>
    </row>
    <row r="124" spans="1:14" outlineLevel="1" x14ac:dyDescent="0.3">
      <c r="A124" s="120"/>
      <c r="B124" s="104"/>
      <c r="C124" s="1">
        <v>1</v>
      </c>
      <c r="D124" s="1">
        <v>114155</v>
      </c>
      <c r="E124" s="1" t="s">
        <v>24</v>
      </c>
      <c r="F124" s="1" t="s">
        <v>28</v>
      </c>
      <c r="G124" s="1" t="s">
        <v>25</v>
      </c>
      <c r="H124" s="3">
        <v>0.3</v>
      </c>
      <c r="I124" s="1">
        <f t="shared" si="19"/>
        <v>0</v>
      </c>
      <c r="J124" s="10">
        <f t="shared" si="20"/>
        <v>0</v>
      </c>
      <c r="K124" s="10">
        <f t="shared" si="21"/>
        <v>0</v>
      </c>
    </row>
    <row r="125" spans="1:14" outlineLevel="1" x14ac:dyDescent="0.3">
      <c r="A125" s="119" t="s">
        <v>199</v>
      </c>
      <c r="B125" s="103" t="s">
        <v>7</v>
      </c>
      <c r="C125" s="1">
        <v>1</v>
      </c>
      <c r="D125" s="1">
        <v>114155</v>
      </c>
      <c r="E125" s="1" t="s">
        <v>20</v>
      </c>
      <c r="F125" s="1" t="s">
        <v>28</v>
      </c>
      <c r="G125" s="1" t="s">
        <v>25</v>
      </c>
      <c r="H125" s="3">
        <v>0.7</v>
      </c>
      <c r="I125" s="1">
        <f t="shared" si="19"/>
        <v>0</v>
      </c>
      <c r="J125" s="10">
        <f t="shared" si="20"/>
        <v>0</v>
      </c>
      <c r="K125" s="10">
        <f t="shared" si="21"/>
        <v>0</v>
      </c>
    </row>
    <row r="126" spans="1:14" outlineLevel="1" x14ac:dyDescent="0.3">
      <c r="A126" s="120"/>
      <c r="B126" s="104"/>
      <c r="C126" s="1">
        <v>1</v>
      </c>
      <c r="D126" s="1">
        <v>114155</v>
      </c>
      <c r="E126" s="1" t="s">
        <v>24</v>
      </c>
      <c r="F126" s="1" t="s">
        <v>28</v>
      </c>
      <c r="G126" s="1" t="s">
        <v>25</v>
      </c>
      <c r="H126" s="3">
        <v>0.3</v>
      </c>
      <c r="I126" s="1">
        <f t="shared" si="19"/>
        <v>0</v>
      </c>
      <c r="J126" s="10">
        <f t="shared" si="20"/>
        <v>0</v>
      </c>
      <c r="K126" s="10">
        <f t="shared" si="21"/>
        <v>0</v>
      </c>
    </row>
    <row r="127" spans="1:14" outlineLevel="1" x14ac:dyDescent="0.3">
      <c r="A127" s="119" t="s">
        <v>201</v>
      </c>
      <c r="B127" s="103" t="s">
        <v>8</v>
      </c>
      <c r="C127" s="1">
        <v>1</v>
      </c>
      <c r="D127" s="1">
        <v>22831</v>
      </c>
      <c r="E127" s="1" t="s">
        <v>20</v>
      </c>
      <c r="F127" s="1" t="s">
        <v>28</v>
      </c>
      <c r="G127" s="1" t="s">
        <v>25</v>
      </c>
      <c r="H127" s="3">
        <v>0.5</v>
      </c>
      <c r="I127" s="1">
        <f t="shared" si="19"/>
        <v>0</v>
      </c>
      <c r="J127" s="10">
        <f t="shared" si="20"/>
        <v>0</v>
      </c>
      <c r="K127" s="10">
        <f t="shared" si="21"/>
        <v>0</v>
      </c>
    </row>
    <row r="128" spans="1:14" outlineLevel="1" x14ac:dyDescent="0.3">
      <c r="A128" s="120"/>
      <c r="B128" s="104"/>
      <c r="C128" s="1">
        <v>1</v>
      </c>
      <c r="D128" s="1">
        <v>22831</v>
      </c>
      <c r="E128" s="1" t="s">
        <v>29</v>
      </c>
      <c r="F128" s="1" t="s">
        <v>28</v>
      </c>
      <c r="G128" s="1" t="s">
        <v>25</v>
      </c>
      <c r="H128" s="3">
        <v>0.5</v>
      </c>
      <c r="I128" s="1">
        <f t="shared" si="19"/>
        <v>0</v>
      </c>
      <c r="J128" s="10">
        <f t="shared" si="20"/>
        <v>0</v>
      </c>
      <c r="K128" s="10">
        <f t="shared" si="21"/>
        <v>0</v>
      </c>
    </row>
    <row r="129" spans="1:11" outlineLevel="1" x14ac:dyDescent="0.3">
      <c r="A129" s="119" t="s">
        <v>197</v>
      </c>
      <c r="B129" s="103" t="s">
        <v>7</v>
      </c>
      <c r="C129" s="1">
        <v>1</v>
      </c>
      <c r="D129" s="1">
        <v>114155</v>
      </c>
      <c r="E129" s="1" t="s">
        <v>20</v>
      </c>
      <c r="F129" s="1" t="s">
        <v>28</v>
      </c>
      <c r="G129" s="1" t="s">
        <v>25</v>
      </c>
      <c r="H129" s="3">
        <v>0.7</v>
      </c>
      <c r="I129" s="1">
        <f t="shared" si="19"/>
        <v>0</v>
      </c>
      <c r="J129" s="10">
        <f t="shared" si="20"/>
        <v>0</v>
      </c>
      <c r="K129" s="10">
        <f t="shared" si="21"/>
        <v>0</v>
      </c>
    </row>
    <row r="130" spans="1:11" outlineLevel="1" x14ac:dyDescent="0.3">
      <c r="A130" s="120"/>
      <c r="B130" s="104"/>
      <c r="C130" s="1">
        <v>1</v>
      </c>
      <c r="D130" s="1">
        <v>114155</v>
      </c>
      <c r="E130" s="1" t="s">
        <v>62</v>
      </c>
      <c r="F130" s="1" t="s">
        <v>28</v>
      </c>
      <c r="G130" s="1" t="s">
        <v>25</v>
      </c>
      <c r="H130" s="3">
        <v>0.3</v>
      </c>
      <c r="I130" s="1">
        <f t="shared" si="19"/>
        <v>0</v>
      </c>
      <c r="J130" s="10">
        <f t="shared" si="20"/>
        <v>0</v>
      </c>
      <c r="K130" s="10">
        <f t="shared" si="21"/>
        <v>0</v>
      </c>
    </row>
    <row r="131" spans="1:11" outlineLevel="1" x14ac:dyDescent="0.3">
      <c r="A131" s="119" t="s">
        <v>202</v>
      </c>
      <c r="B131" s="103" t="s">
        <v>7</v>
      </c>
      <c r="C131" s="1">
        <v>1</v>
      </c>
      <c r="D131" s="1">
        <v>114155</v>
      </c>
      <c r="E131" s="1" t="s">
        <v>20</v>
      </c>
      <c r="F131" s="1" t="s">
        <v>28</v>
      </c>
      <c r="G131" s="1" t="s">
        <v>25</v>
      </c>
      <c r="H131" s="3">
        <v>0.7</v>
      </c>
      <c r="I131" s="1">
        <f t="shared" si="19"/>
        <v>0</v>
      </c>
      <c r="J131" s="10">
        <f t="shared" si="20"/>
        <v>0</v>
      </c>
      <c r="K131" s="10">
        <f t="shared" si="21"/>
        <v>0</v>
      </c>
    </row>
    <row r="132" spans="1:11" outlineLevel="1" x14ac:dyDescent="0.3">
      <c r="A132" s="120"/>
      <c r="B132" s="104"/>
      <c r="C132" s="1">
        <v>1</v>
      </c>
      <c r="D132" s="1">
        <v>114155</v>
      </c>
      <c r="E132" s="1" t="s">
        <v>62</v>
      </c>
      <c r="F132" s="1" t="s">
        <v>28</v>
      </c>
      <c r="G132" s="1" t="s">
        <v>25</v>
      </c>
      <c r="H132" s="3">
        <v>0.3</v>
      </c>
      <c r="I132" s="1">
        <f t="shared" si="19"/>
        <v>0</v>
      </c>
      <c r="J132" s="10">
        <f t="shared" si="20"/>
        <v>0</v>
      </c>
      <c r="K132" s="10">
        <f t="shared" si="21"/>
        <v>0</v>
      </c>
    </row>
    <row r="133" spans="1:11" outlineLevel="1" x14ac:dyDescent="0.3">
      <c r="A133" s="119" t="s">
        <v>203</v>
      </c>
      <c r="B133" s="103" t="s">
        <v>7</v>
      </c>
      <c r="C133" s="1">
        <v>1</v>
      </c>
      <c r="D133" s="1">
        <v>114155</v>
      </c>
      <c r="E133" s="1" t="s">
        <v>20</v>
      </c>
      <c r="F133" s="1" t="s">
        <v>28</v>
      </c>
      <c r="G133" s="1" t="s">
        <v>25</v>
      </c>
      <c r="H133" s="3">
        <v>0.7</v>
      </c>
      <c r="I133" s="1">
        <f t="shared" si="19"/>
        <v>0</v>
      </c>
      <c r="J133" s="10">
        <f t="shared" si="20"/>
        <v>0</v>
      </c>
      <c r="K133" s="10">
        <f t="shared" si="21"/>
        <v>0</v>
      </c>
    </row>
    <row r="134" spans="1:11" outlineLevel="1" x14ac:dyDescent="0.3">
      <c r="A134" s="120"/>
      <c r="B134" s="104"/>
      <c r="C134" s="1">
        <v>1</v>
      </c>
      <c r="D134" s="1">
        <v>114155</v>
      </c>
      <c r="E134" s="1" t="s">
        <v>62</v>
      </c>
      <c r="F134" s="1" t="s">
        <v>28</v>
      </c>
      <c r="G134" s="1" t="s">
        <v>25</v>
      </c>
      <c r="H134" s="3">
        <v>0.3</v>
      </c>
      <c r="I134" s="1">
        <f t="shared" si="19"/>
        <v>0</v>
      </c>
      <c r="J134" s="10">
        <f t="shared" si="20"/>
        <v>0</v>
      </c>
      <c r="K134" s="10">
        <f t="shared" si="21"/>
        <v>0</v>
      </c>
    </row>
    <row r="135" spans="1:11" outlineLevel="1" x14ac:dyDescent="0.3">
      <c r="A135" s="101" t="s">
        <v>120</v>
      </c>
      <c r="B135" s="103" t="s">
        <v>37</v>
      </c>
      <c r="C135" s="1">
        <v>1</v>
      </c>
      <c r="D135" s="1">
        <v>1903</v>
      </c>
      <c r="E135" s="1" t="s">
        <v>38</v>
      </c>
      <c r="F135" s="1" t="s">
        <v>28</v>
      </c>
      <c r="G135" s="1" t="s">
        <v>25</v>
      </c>
      <c r="H135" s="36">
        <v>0.16700000000000001</v>
      </c>
      <c r="I135" s="1">
        <f t="shared" si="19"/>
        <v>0</v>
      </c>
      <c r="J135" s="10">
        <f t="shared" si="20"/>
        <v>0</v>
      </c>
      <c r="K135" s="10">
        <f t="shared" si="21"/>
        <v>0</v>
      </c>
    </row>
    <row r="136" spans="1:11" outlineLevel="1" x14ac:dyDescent="0.3">
      <c r="A136" s="115"/>
      <c r="B136" s="114"/>
      <c r="C136" s="1">
        <v>1</v>
      </c>
      <c r="D136" s="1">
        <v>1903</v>
      </c>
      <c r="E136" s="1" t="s">
        <v>39</v>
      </c>
      <c r="F136" s="1" t="s">
        <v>28</v>
      </c>
      <c r="G136" s="1" t="s">
        <v>25</v>
      </c>
      <c r="H136" s="36">
        <v>0.16700000000000001</v>
      </c>
      <c r="I136" s="1">
        <f t="shared" si="19"/>
        <v>0</v>
      </c>
      <c r="J136" s="10">
        <f t="shared" si="20"/>
        <v>0</v>
      </c>
      <c r="K136" s="10">
        <f t="shared" si="21"/>
        <v>0</v>
      </c>
    </row>
    <row r="137" spans="1:11" outlineLevel="1" x14ac:dyDescent="0.3">
      <c r="A137" s="115"/>
      <c r="B137" s="114"/>
      <c r="C137" s="1">
        <v>1</v>
      </c>
      <c r="D137" s="1">
        <v>1903</v>
      </c>
      <c r="E137" s="1" t="s">
        <v>40</v>
      </c>
      <c r="F137" s="1" t="s">
        <v>28</v>
      </c>
      <c r="G137" s="1" t="s">
        <v>25</v>
      </c>
      <c r="H137" s="36">
        <v>0.16700000000000001</v>
      </c>
      <c r="I137" s="1">
        <f t="shared" si="19"/>
        <v>0</v>
      </c>
      <c r="J137" s="10">
        <f t="shared" si="20"/>
        <v>0</v>
      </c>
      <c r="K137" s="10">
        <f t="shared" si="21"/>
        <v>0</v>
      </c>
    </row>
    <row r="138" spans="1:11" outlineLevel="1" x14ac:dyDescent="0.3">
      <c r="A138" s="115"/>
      <c r="B138" s="114"/>
      <c r="C138" s="1">
        <v>1</v>
      </c>
      <c r="D138" s="1">
        <v>1903</v>
      </c>
      <c r="E138" s="1" t="s">
        <v>41</v>
      </c>
      <c r="F138" s="1" t="s">
        <v>28</v>
      </c>
      <c r="G138" s="1" t="s">
        <v>25</v>
      </c>
      <c r="H138" s="36">
        <v>0.16700000000000001</v>
      </c>
      <c r="I138" s="1">
        <f t="shared" si="19"/>
        <v>0</v>
      </c>
      <c r="J138" s="10">
        <f t="shared" si="20"/>
        <v>0</v>
      </c>
      <c r="K138" s="10">
        <f t="shared" si="21"/>
        <v>0</v>
      </c>
    </row>
    <row r="139" spans="1:11" outlineLevel="1" x14ac:dyDescent="0.3">
      <c r="A139" s="115"/>
      <c r="B139" s="114"/>
      <c r="C139" s="1">
        <v>1</v>
      </c>
      <c r="D139" s="1">
        <v>1903</v>
      </c>
      <c r="E139" s="1" t="s">
        <v>42</v>
      </c>
      <c r="F139" s="1" t="s">
        <v>28</v>
      </c>
      <c r="G139" s="1" t="s">
        <v>25</v>
      </c>
      <c r="H139" s="36">
        <v>0.16700000000000001</v>
      </c>
      <c r="I139" s="1">
        <f t="shared" si="19"/>
        <v>0</v>
      </c>
      <c r="J139" s="10">
        <f t="shared" si="20"/>
        <v>0</v>
      </c>
      <c r="K139" s="10">
        <f t="shared" si="21"/>
        <v>0</v>
      </c>
    </row>
    <row r="140" spans="1:11" outlineLevel="1" x14ac:dyDescent="0.3">
      <c r="A140" s="102"/>
      <c r="B140" s="104"/>
      <c r="C140" s="1">
        <v>1</v>
      </c>
      <c r="D140" s="1">
        <v>1903</v>
      </c>
      <c r="E140" s="1" t="s">
        <v>43</v>
      </c>
      <c r="F140" s="1" t="s">
        <v>28</v>
      </c>
      <c r="G140" s="1" t="s">
        <v>25</v>
      </c>
      <c r="H140" s="36">
        <v>0.16700000000000001</v>
      </c>
      <c r="I140" s="1">
        <f>IF(F140="yes",D140/H140,0)</f>
        <v>0</v>
      </c>
      <c r="J140" s="10">
        <f t="shared" si="20"/>
        <v>0</v>
      </c>
      <c r="K140" s="10">
        <f>J140*C140</f>
        <v>0</v>
      </c>
    </row>
    <row r="141" spans="1:11" outlineLevel="1" x14ac:dyDescent="0.3">
      <c r="A141" s="101" t="s">
        <v>204</v>
      </c>
      <c r="B141" s="103" t="s">
        <v>49</v>
      </c>
      <c r="C141" s="1">
        <v>1</v>
      </c>
      <c r="D141" s="1">
        <v>114155</v>
      </c>
      <c r="E141" s="1" t="s">
        <v>20</v>
      </c>
      <c r="F141" s="1" t="s">
        <v>28</v>
      </c>
      <c r="G141" s="1" t="s">
        <v>25</v>
      </c>
      <c r="H141" s="3">
        <v>0.5</v>
      </c>
      <c r="I141" s="1">
        <f t="shared" ref="I141:I153" si="22">IF(F141="yes",D141/H141,0)</f>
        <v>0</v>
      </c>
      <c r="J141" s="10">
        <f t="shared" si="20"/>
        <v>0</v>
      </c>
      <c r="K141" s="10">
        <f t="shared" ref="K141:K153" si="23">J141*C141</f>
        <v>0</v>
      </c>
    </row>
    <row r="142" spans="1:11" outlineLevel="1" x14ac:dyDescent="0.3">
      <c r="A142" s="102"/>
      <c r="B142" s="104"/>
      <c r="C142" s="1">
        <v>1</v>
      </c>
      <c r="D142" s="1">
        <v>114155</v>
      </c>
      <c r="E142" s="1" t="s">
        <v>29</v>
      </c>
      <c r="F142" s="1" t="s">
        <v>28</v>
      </c>
      <c r="G142" s="1" t="s">
        <v>25</v>
      </c>
      <c r="H142" s="3">
        <v>0.5</v>
      </c>
      <c r="I142" s="1">
        <f t="shared" si="22"/>
        <v>0</v>
      </c>
      <c r="J142" s="10">
        <f t="shared" si="20"/>
        <v>0</v>
      </c>
      <c r="K142" s="10">
        <f t="shared" si="23"/>
        <v>0</v>
      </c>
    </row>
    <row r="143" spans="1:11" outlineLevel="1" x14ac:dyDescent="0.3">
      <c r="A143" s="101" t="s">
        <v>205</v>
      </c>
      <c r="B143" s="103" t="s">
        <v>206</v>
      </c>
      <c r="C143" s="1">
        <v>1</v>
      </c>
      <c r="D143" s="1">
        <v>1522</v>
      </c>
      <c r="E143" s="69" t="s">
        <v>50</v>
      </c>
      <c r="F143" s="1" t="s">
        <v>28</v>
      </c>
      <c r="G143" s="1" t="s">
        <v>25</v>
      </c>
      <c r="H143" s="36">
        <v>0.16700000000000001</v>
      </c>
      <c r="I143" s="1">
        <f t="shared" si="22"/>
        <v>0</v>
      </c>
      <c r="J143" s="10">
        <f t="shared" si="20"/>
        <v>0</v>
      </c>
      <c r="K143" s="10">
        <f t="shared" si="23"/>
        <v>0</v>
      </c>
    </row>
    <row r="144" spans="1:11" outlineLevel="1" x14ac:dyDescent="0.3">
      <c r="A144" s="115"/>
      <c r="B144" s="114"/>
      <c r="C144" s="1">
        <v>1</v>
      </c>
      <c r="D144" s="1">
        <v>1522</v>
      </c>
      <c r="E144" s="69" t="s">
        <v>51</v>
      </c>
      <c r="F144" s="1" t="s">
        <v>28</v>
      </c>
      <c r="G144" s="1" t="s">
        <v>25</v>
      </c>
      <c r="H144" s="36">
        <v>0.16700000000000001</v>
      </c>
      <c r="I144" s="1">
        <f t="shared" si="22"/>
        <v>0</v>
      </c>
      <c r="J144" s="10">
        <f t="shared" si="20"/>
        <v>0</v>
      </c>
      <c r="K144" s="10">
        <f t="shared" si="23"/>
        <v>0</v>
      </c>
    </row>
    <row r="145" spans="1:11" outlineLevel="1" x14ac:dyDescent="0.3">
      <c r="A145" s="115"/>
      <c r="B145" s="114"/>
      <c r="C145" s="1">
        <v>1</v>
      </c>
      <c r="D145" s="1">
        <v>1522</v>
      </c>
      <c r="E145" s="69" t="s">
        <v>52</v>
      </c>
      <c r="F145" s="1" t="s">
        <v>28</v>
      </c>
      <c r="G145" s="1" t="s">
        <v>25</v>
      </c>
      <c r="H145" s="36">
        <v>0.16700000000000001</v>
      </c>
      <c r="I145" s="1">
        <f t="shared" si="22"/>
        <v>0</v>
      </c>
      <c r="J145" s="10">
        <f t="shared" si="20"/>
        <v>0</v>
      </c>
      <c r="K145" s="10">
        <f t="shared" si="23"/>
        <v>0</v>
      </c>
    </row>
    <row r="146" spans="1:11" outlineLevel="1" x14ac:dyDescent="0.3">
      <c r="A146" s="115"/>
      <c r="B146" s="114"/>
      <c r="C146" s="1">
        <v>1</v>
      </c>
      <c r="D146" s="1">
        <v>1522</v>
      </c>
      <c r="E146" s="69" t="s">
        <v>53</v>
      </c>
      <c r="F146" s="1" t="s">
        <v>28</v>
      </c>
      <c r="G146" s="1" t="s">
        <v>25</v>
      </c>
      <c r="H146" s="36">
        <v>0.16700000000000001</v>
      </c>
      <c r="I146" s="1">
        <f t="shared" si="22"/>
        <v>0</v>
      </c>
      <c r="J146" s="10">
        <f t="shared" si="20"/>
        <v>0</v>
      </c>
      <c r="K146" s="10">
        <f t="shared" si="23"/>
        <v>0</v>
      </c>
    </row>
    <row r="147" spans="1:11" outlineLevel="1" x14ac:dyDescent="0.3">
      <c r="A147" s="115"/>
      <c r="B147" s="114"/>
      <c r="C147" s="1">
        <v>1</v>
      </c>
      <c r="D147" s="1">
        <v>1522</v>
      </c>
      <c r="E147" s="69" t="s">
        <v>54</v>
      </c>
      <c r="F147" s="1" t="s">
        <v>28</v>
      </c>
      <c r="G147" s="1" t="s">
        <v>25</v>
      </c>
      <c r="H147" s="36">
        <v>0.16700000000000001</v>
      </c>
      <c r="I147" s="1">
        <f t="shared" si="22"/>
        <v>0</v>
      </c>
      <c r="J147" s="10">
        <f t="shared" si="20"/>
        <v>0</v>
      </c>
      <c r="K147" s="10">
        <f t="shared" si="23"/>
        <v>0</v>
      </c>
    </row>
    <row r="148" spans="1:11" outlineLevel="1" x14ac:dyDescent="0.3">
      <c r="A148" s="102"/>
      <c r="B148" s="104"/>
      <c r="C148" s="1">
        <v>1</v>
      </c>
      <c r="D148" s="1">
        <v>1522</v>
      </c>
      <c r="E148" s="69" t="s">
        <v>55</v>
      </c>
      <c r="F148" s="1" t="s">
        <v>28</v>
      </c>
      <c r="G148" s="1" t="s">
        <v>25</v>
      </c>
      <c r="H148" s="36">
        <v>0.16700000000000001</v>
      </c>
      <c r="I148" s="1">
        <f t="shared" si="22"/>
        <v>0</v>
      </c>
      <c r="J148" s="10">
        <f t="shared" si="20"/>
        <v>0</v>
      </c>
      <c r="K148" s="10">
        <f t="shared" si="23"/>
        <v>0</v>
      </c>
    </row>
    <row r="149" spans="1:11" outlineLevel="1" x14ac:dyDescent="0.3">
      <c r="A149" s="101" t="s">
        <v>207</v>
      </c>
      <c r="B149" s="103" t="s">
        <v>7</v>
      </c>
      <c r="C149" s="1">
        <v>3</v>
      </c>
      <c r="D149" s="1">
        <v>114155</v>
      </c>
      <c r="E149" s="1" t="s">
        <v>20</v>
      </c>
      <c r="F149" s="1" t="s">
        <v>28</v>
      </c>
      <c r="G149" s="1" t="s">
        <v>25</v>
      </c>
      <c r="H149" s="3">
        <v>0.7</v>
      </c>
      <c r="I149" s="1">
        <f t="shared" si="22"/>
        <v>0</v>
      </c>
      <c r="J149" s="10">
        <f t="shared" si="20"/>
        <v>0</v>
      </c>
      <c r="K149" s="10">
        <f t="shared" si="23"/>
        <v>0</v>
      </c>
    </row>
    <row r="150" spans="1:11" outlineLevel="1" x14ac:dyDescent="0.3">
      <c r="A150" s="102"/>
      <c r="B150" s="104"/>
      <c r="C150" s="1">
        <v>3</v>
      </c>
      <c r="D150" s="1">
        <v>114155</v>
      </c>
      <c r="E150" s="1" t="s">
        <v>62</v>
      </c>
      <c r="F150" s="1" t="s">
        <v>28</v>
      </c>
      <c r="G150" s="1" t="s">
        <v>25</v>
      </c>
      <c r="H150" s="3">
        <v>0.3</v>
      </c>
      <c r="I150" s="1">
        <f t="shared" si="22"/>
        <v>0</v>
      </c>
      <c r="J150" s="10">
        <f t="shared" si="20"/>
        <v>0</v>
      </c>
      <c r="K150" s="10">
        <f t="shared" si="23"/>
        <v>0</v>
      </c>
    </row>
    <row r="151" spans="1:11" outlineLevel="1" x14ac:dyDescent="0.3">
      <c r="A151" s="101" t="s">
        <v>208</v>
      </c>
      <c r="B151" s="103" t="s">
        <v>7</v>
      </c>
      <c r="C151" s="1">
        <v>1</v>
      </c>
      <c r="D151" s="1">
        <v>114155</v>
      </c>
      <c r="E151" s="1" t="s">
        <v>20</v>
      </c>
      <c r="F151" s="1" t="s">
        <v>28</v>
      </c>
      <c r="G151" s="1" t="s">
        <v>25</v>
      </c>
      <c r="H151" s="3">
        <v>0.7</v>
      </c>
      <c r="I151" s="1">
        <f t="shared" si="22"/>
        <v>0</v>
      </c>
      <c r="J151" s="10">
        <f t="shared" si="20"/>
        <v>0</v>
      </c>
      <c r="K151" s="10">
        <f t="shared" si="23"/>
        <v>0</v>
      </c>
    </row>
    <row r="152" spans="1:11" outlineLevel="1" x14ac:dyDescent="0.3">
      <c r="A152" s="102"/>
      <c r="B152" s="104"/>
      <c r="C152" s="1">
        <v>1</v>
      </c>
      <c r="D152" s="1">
        <v>114155</v>
      </c>
      <c r="E152" s="1" t="s">
        <v>62</v>
      </c>
      <c r="F152" s="1" t="s">
        <v>28</v>
      </c>
      <c r="G152" s="1" t="s">
        <v>25</v>
      </c>
      <c r="H152" s="3">
        <v>0.3</v>
      </c>
      <c r="I152" s="1">
        <f t="shared" si="22"/>
        <v>0</v>
      </c>
      <c r="J152" s="10">
        <f t="shared" si="20"/>
        <v>0</v>
      </c>
      <c r="K152" s="10">
        <f t="shared" si="23"/>
        <v>0</v>
      </c>
    </row>
    <row r="153" spans="1:11" outlineLevel="1" x14ac:dyDescent="0.3">
      <c r="A153" s="101" t="s">
        <v>209</v>
      </c>
      <c r="B153" s="103" t="s">
        <v>8</v>
      </c>
      <c r="C153" s="1">
        <v>1</v>
      </c>
      <c r="D153" s="1">
        <v>22831</v>
      </c>
      <c r="E153" s="1" t="s">
        <v>20</v>
      </c>
      <c r="F153" s="1" t="s">
        <v>28</v>
      </c>
      <c r="G153" s="1" t="s">
        <v>25</v>
      </c>
      <c r="H153" s="3">
        <v>0.5</v>
      </c>
      <c r="I153" s="1">
        <f t="shared" si="22"/>
        <v>0</v>
      </c>
      <c r="J153" s="10">
        <f t="shared" si="20"/>
        <v>0</v>
      </c>
      <c r="K153" s="10">
        <f t="shared" si="23"/>
        <v>0</v>
      </c>
    </row>
    <row r="154" spans="1:11" outlineLevel="1" x14ac:dyDescent="0.3">
      <c r="A154" s="102"/>
      <c r="B154" s="104"/>
      <c r="C154" s="1">
        <v>1</v>
      </c>
      <c r="D154" s="1">
        <v>22831</v>
      </c>
      <c r="E154" s="1" t="s">
        <v>29</v>
      </c>
      <c r="F154" s="1" t="s">
        <v>28</v>
      </c>
      <c r="G154" s="1" t="s">
        <v>25</v>
      </c>
      <c r="H154" s="3">
        <v>0.5</v>
      </c>
      <c r="I154" s="1">
        <f>IF(F154="yes",D154/H154,0)</f>
        <v>0</v>
      </c>
      <c r="J154" s="10">
        <f>IF(I154= 0,0,1/I154)</f>
        <v>0</v>
      </c>
      <c r="K154" s="10">
        <f>J154*C154</f>
        <v>0</v>
      </c>
    </row>
    <row r="155" spans="1:11" outlineLevel="1" x14ac:dyDescent="0.3">
      <c r="A155" s="39"/>
      <c r="B155" s="40"/>
      <c r="C155" s="1"/>
      <c r="D155" s="1"/>
      <c r="E155" s="1"/>
      <c r="F155" s="1"/>
      <c r="G155" s="35"/>
      <c r="H155" s="3"/>
      <c r="I155" s="1"/>
      <c r="J155" s="10"/>
      <c r="K155" s="10"/>
    </row>
    <row r="156" spans="1:11" ht="28" outlineLevel="1" x14ac:dyDescent="0.3">
      <c r="A156" s="101" t="s">
        <v>255</v>
      </c>
      <c r="B156" s="103" t="s">
        <v>7</v>
      </c>
      <c r="C156" s="38">
        <v>2</v>
      </c>
      <c r="D156" s="38">
        <v>114155</v>
      </c>
      <c r="E156" s="38" t="s">
        <v>20</v>
      </c>
      <c r="F156" s="38" t="s">
        <v>27</v>
      </c>
      <c r="G156" s="41" t="s">
        <v>257</v>
      </c>
      <c r="H156" s="47">
        <v>0.7</v>
      </c>
      <c r="I156" s="38">
        <f t="shared" ref="I156:I187" si="24">IF(F156="yes",D156/H156,0)</f>
        <v>163078.57142857145</v>
      </c>
      <c r="J156" s="48">
        <f t="shared" ref="J156:J187" si="25">IF(I156= 0,0,1/I156)</f>
        <v>6.1320134904296781E-6</v>
      </c>
      <c r="K156" s="48">
        <f t="shared" ref="K156:K187" si="26">J156*C156</f>
        <v>1.2264026980859356E-5</v>
      </c>
    </row>
    <row r="157" spans="1:11" outlineLevel="1" x14ac:dyDescent="0.3">
      <c r="A157" s="102"/>
      <c r="B157" s="104"/>
      <c r="C157" s="38">
        <v>2</v>
      </c>
      <c r="D157" s="38">
        <v>114155</v>
      </c>
      <c r="E157" s="38" t="s">
        <v>62</v>
      </c>
      <c r="F157" s="38" t="s">
        <v>28</v>
      </c>
      <c r="G157" s="41" t="s">
        <v>25</v>
      </c>
      <c r="H157" s="47">
        <v>0.3</v>
      </c>
      <c r="I157" s="38">
        <f t="shared" si="24"/>
        <v>0</v>
      </c>
      <c r="J157" s="48">
        <f t="shared" si="25"/>
        <v>0</v>
      </c>
      <c r="K157" s="48">
        <f t="shared" si="26"/>
        <v>0</v>
      </c>
    </row>
    <row r="158" spans="1:11" ht="28" outlineLevel="1" x14ac:dyDescent="0.3">
      <c r="A158" s="101" t="s">
        <v>256</v>
      </c>
      <c r="B158" s="103" t="s">
        <v>7</v>
      </c>
      <c r="C158" s="38">
        <v>3</v>
      </c>
      <c r="D158" s="38">
        <v>114155</v>
      </c>
      <c r="E158" s="38" t="s">
        <v>20</v>
      </c>
      <c r="F158" s="38" t="s">
        <v>27</v>
      </c>
      <c r="G158" s="41" t="s">
        <v>257</v>
      </c>
      <c r="H158" s="47">
        <v>0.7</v>
      </c>
      <c r="I158" s="38">
        <f t="shared" ref="I158:I171" si="27">IF(F158="yes",D158/H158,0)</f>
        <v>163078.57142857145</v>
      </c>
      <c r="J158" s="48">
        <f t="shared" ref="J158:J171" si="28">IF(I158= 0,0,1/I158)</f>
        <v>6.1320134904296781E-6</v>
      </c>
      <c r="K158" s="48">
        <f t="shared" ref="K158:K171" si="29">J158*C158</f>
        <v>1.8396040471289034E-5</v>
      </c>
    </row>
    <row r="159" spans="1:11" outlineLevel="1" x14ac:dyDescent="0.3">
      <c r="A159" s="102"/>
      <c r="B159" s="104"/>
      <c r="C159" s="38">
        <v>3</v>
      </c>
      <c r="D159" s="38">
        <v>114155</v>
      </c>
      <c r="E159" s="38" t="s">
        <v>148</v>
      </c>
      <c r="F159" s="38" t="s">
        <v>28</v>
      </c>
      <c r="G159" s="41" t="s">
        <v>25</v>
      </c>
      <c r="H159" s="47">
        <v>0.3</v>
      </c>
      <c r="I159" s="38">
        <f t="shared" si="27"/>
        <v>0</v>
      </c>
      <c r="J159" s="48">
        <f t="shared" si="28"/>
        <v>0</v>
      </c>
      <c r="K159" s="48">
        <f t="shared" si="29"/>
        <v>0</v>
      </c>
    </row>
    <row r="160" spans="1:11" ht="28" outlineLevel="1" x14ac:dyDescent="0.3">
      <c r="A160" s="101" t="s">
        <v>258</v>
      </c>
      <c r="B160" s="103" t="s">
        <v>7</v>
      </c>
      <c r="C160" s="38">
        <v>2</v>
      </c>
      <c r="D160" s="82">
        <v>57305.9</v>
      </c>
      <c r="E160" s="38" t="s">
        <v>20</v>
      </c>
      <c r="F160" s="38" t="s">
        <v>27</v>
      </c>
      <c r="G160" s="41" t="s">
        <v>257</v>
      </c>
      <c r="H160" s="47">
        <v>0.7</v>
      </c>
      <c r="I160" s="38">
        <f t="shared" ref="I160:I161" si="30">IF(F160="yes",D160/H160,0)</f>
        <v>81865.571428571435</v>
      </c>
      <c r="J160" s="48">
        <f t="shared" ref="J160:J161" si="31">IF(I160= 0,0,1/I160)</f>
        <v>1.2215147131447197E-5</v>
      </c>
      <c r="K160" s="48">
        <f t="shared" ref="K160:K161" si="32">J160*C160</f>
        <v>2.4430294262894394E-5</v>
      </c>
    </row>
    <row r="161" spans="1:11" outlineLevel="1" x14ac:dyDescent="0.3">
      <c r="A161" s="102"/>
      <c r="B161" s="104"/>
      <c r="C161" s="38">
        <v>2</v>
      </c>
      <c r="D161" s="82">
        <v>57305.9</v>
      </c>
      <c r="E161" s="38" t="s">
        <v>148</v>
      </c>
      <c r="F161" s="38" t="s">
        <v>28</v>
      </c>
      <c r="G161" s="41" t="s">
        <v>25</v>
      </c>
      <c r="H161" s="47">
        <v>0.3</v>
      </c>
      <c r="I161" s="38">
        <f t="shared" si="30"/>
        <v>0</v>
      </c>
      <c r="J161" s="48">
        <f t="shared" si="31"/>
        <v>0</v>
      </c>
      <c r="K161" s="48">
        <f t="shared" si="32"/>
        <v>0</v>
      </c>
    </row>
    <row r="162" spans="1:11" ht="28" outlineLevel="1" x14ac:dyDescent="0.3">
      <c r="A162" s="119" t="s">
        <v>260</v>
      </c>
      <c r="B162" s="103" t="s">
        <v>9</v>
      </c>
      <c r="C162" s="1">
        <v>4</v>
      </c>
      <c r="D162" s="1">
        <v>114155</v>
      </c>
      <c r="E162" s="1" t="s">
        <v>20</v>
      </c>
      <c r="F162" s="1" t="s">
        <v>27</v>
      </c>
      <c r="G162" s="41" t="s">
        <v>257</v>
      </c>
      <c r="H162" s="3">
        <v>0.5</v>
      </c>
      <c r="I162" s="1">
        <f t="shared" si="27"/>
        <v>228310</v>
      </c>
      <c r="J162" s="10">
        <f t="shared" si="28"/>
        <v>4.3800096360211989E-6</v>
      </c>
      <c r="K162" s="10">
        <f t="shared" si="29"/>
        <v>1.7520038544084796E-5</v>
      </c>
    </row>
    <row r="163" spans="1:11" outlineLevel="1" x14ac:dyDescent="0.3">
      <c r="A163" s="120"/>
      <c r="B163" s="104"/>
      <c r="C163" s="1">
        <v>4</v>
      </c>
      <c r="D163" s="1">
        <v>114155</v>
      </c>
      <c r="E163" s="1" t="s">
        <v>29</v>
      </c>
      <c r="F163" s="1" t="s">
        <v>28</v>
      </c>
      <c r="G163" s="41" t="s">
        <v>25</v>
      </c>
      <c r="H163" s="3">
        <v>0.5</v>
      </c>
      <c r="I163" s="1">
        <f t="shared" si="27"/>
        <v>0</v>
      </c>
      <c r="J163" s="10">
        <f t="shared" si="28"/>
        <v>0</v>
      </c>
      <c r="K163" s="10">
        <f t="shared" si="29"/>
        <v>0</v>
      </c>
    </row>
    <row r="164" spans="1:11" outlineLevel="1" x14ac:dyDescent="0.3">
      <c r="A164" s="101" t="s">
        <v>261</v>
      </c>
      <c r="B164" s="103" t="s">
        <v>9</v>
      </c>
      <c r="C164" s="1">
        <v>2</v>
      </c>
      <c r="D164" s="1">
        <v>114155</v>
      </c>
      <c r="E164" s="1" t="s">
        <v>20</v>
      </c>
      <c r="F164" s="1" t="s">
        <v>28</v>
      </c>
      <c r="G164" s="1" t="s">
        <v>25</v>
      </c>
      <c r="H164" s="3">
        <v>0.5</v>
      </c>
      <c r="I164" s="1">
        <f t="shared" si="27"/>
        <v>0</v>
      </c>
      <c r="J164" s="10">
        <f t="shared" si="28"/>
        <v>0</v>
      </c>
      <c r="K164" s="10">
        <f t="shared" si="29"/>
        <v>0</v>
      </c>
    </row>
    <row r="165" spans="1:11" ht="28" outlineLevel="1" x14ac:dyDescent="0.3">
      <c r="A165" s="102"/>
      <c r="B165" s="104"/>
      <c r="C165" s="1">
        <v>2</v>
      </c>
      <c r="D165" s="1">
        <v>114155</v>
      </c>
      <c r="E165" s="1" t="s">
        <v>29</v>
      </c>
      <c r="F165" s="1" t="s">
        <v>27</v>
      </c>
      <c r="G165" s="41" t="s">
        <v>257</v>
      </c>
      <c r="H165" s="3">
        <v>0.5</v>
      </c>
      <c r="I165" s="1">
        <f t="shared" si="27"/>
        <v>228310</v>
      </c>
      <c r="J165" s="10">
        <f t="shared" si="28"/>
        <v>4.3800096360211989E-6</v>
      </c>
      <c r="K165" s="10">
        <f t="shared" si="29"/>
        <v>8.7600192720423978E-6</v>
      </c>
    </row>
    <row r="166" spans="1:11" ht="28" outlineLevel="1" x14ac:dyDescent="0.3">
      <c r="A166" s="101" t="s">
        <v>262</v>
      </c>
      <c r="B166" s="103" t="s">
        <v>206</v>
      </c>
      <c r="C166" s="1">
        <v>4</v>
      </c>
      <c r="D166" s="1">
        <v>1522</v>
      </c>
      <c r="E166" s="69" t="s">
        <v>50</v>
      </c>
      <c r="F166" s="1" t="s">
        <v>27</v>
      </c>
      <c r="G166" s="41" t="s">
        <v>257</v>
      </c>
      <c r="H166" s="36">
        <v>0.16700000000000001</v>
      </c>
      <c r="I166" s="1">
        <f t="shared" si="27"/>
        <v>9113.7724550898201</v>
      </c>
      <c r="J166" s="10">
        <f t="shared" si="28"/>
        <v>1.0972404730617609E-4</v>
      </c>
      <c r="K166" s="10">
        <f t="shared" si="29"/>
        <v>4.3889618922470435E-4</v>
      </c>
    </row>
    <row r="167" spans="1:11" ht="28" outlineLevel="1" x14ac:dyDescent="0.3">
      <c r="A167" s="115"/>
      <c r="B167" s="114"/>
      <c r="C167" s="1">
        <v>4</v>
      </c>
      <c r="D167" s="1">
        <v>1522</v>
      </c>
      <c r="E167" s="69" t="s">
        <v>51</v>
      </c>
      <c r="F167" s="1" t="s">
        <v>27</v>
      </c>
      <c r="G167" s="41" t="s">
        <v>257</v>
      </c>
      <c r="H167" s="36">
        <v>0.16700000000000001</v>
      </c>
      <c r="I167" s="1">
        <f t="shared" si="27"/>
        <v>9113.7724550898201</v>
      </c>
      <c r="J167" s="10">
        <f t="shared" si="28"/>
        <v>1.0972404730617609E-4</v>
      </c>
      <c r="K167" s="10">
        <f t="shared" si="29"/>
        <v>4.3889618922470435E-4</v>
      </c>
    </row>
    <row r="168" spans="1:11" ht="28" outlineLevel="1" x14ac:dyDescent="0.3">
      <c r="A168" s="115"/>
      <c r="B168" s="114"/>
      <c r="C168" s="1">
        <v>4</v>
      </c>
      <c r="D168" s="1">
        <v>1522</v>
      </c>
      <c r="E168" s="69" t="s">
        <v>52</v>
      </c>
      <c r="F168" s="1" t="s">
        <v>27</v>
      </c>
      <c r="G168" s="41" t="s">
        <v>257</v>
      </c>
      <c r="H168" s="36">
        <v>0.16700000000000001</v>
      </c>
      <c r="I168" s="1">
        <f t="shared" si="27"/>
        <v>9113.7724550898201</v>
      </c>
      <c r="J168" s="10">
        <f t="shared" si="28"/>
        <v>1.0972404730617609E-4</v>
      </c>
      <c r="K168" s="10">
        <f t="shared" si="29"/>
        <v>4.3889618922470435E-4</v>
      </c>
    </row>
    <row r="169" spans="1:11" outlineLevel="1" x14ac:dyDescent="0.3">
      <c r="A169" s="115"/>
      <c r="B169" s="114"/>
      <c r="C169" s="1">
        <v>4</v>
      </c>
      <c r="D169" s="1">
        <v>1522</v>
      </c>
      <c r="E169" s="69" t="s">
        <v>53</v>
      </c>
      <c r="F169" s="1" t="s">
        <v>28</v>
      </c>
      <c r="G169" s="1" t="s">
        <v>25</v>
      </c>
      <c r="H169" s="36">
        <v>0.16700000000000001</v>
      </c>
      <c r="I169" s="1">
        <f t="shared" si="27"/>
        <v>0</v>
      </c>
      <c r="J169" s="10">
        <f t="shared" si="28"/>
        <v>0</v>
      </c>
      <c r="K169" s="10">
        <f t="shared" si="29"/>
        <v>0</v>
      </c>
    </row>
    <row r="170" spans="1:11" outlineLevel="1" x14ac:dyDescent="0.3">
      <c r="A170" s="115"/>
      <c r="B170" s="114"/>
      <c r="C170" s="1">
        <v>4</v>
      </c>
      <c r="D170" s="1">
        <v>1522</v>
      </c>
      <c r="E170" s="69" t="s">
        <v>54</v>
      </c>
      <c r="F170" s="1" t="s">
        <v>28</v>
      </c>
      <c r="G170" s="1" t="s">
        <v>25</v>
      </c>
      <c r="H170" s="36">
        <v>0.16700000000000001</v>
      </c>
      <c r="I170" s="1">
        <f t="shared" si="27"/>
        <v>0</v>
      </c>
      <c r="J170" s="10">
        <f t="shared" si="28"/>
        <v>0</v>
      </c>
      <c r="K170" s="10">
        <f t="shared" si="29"/>
        <v>0</v>
      </c>
    </row>
    <row r="171" spans="1:11" outlineLevel="1" x14ac:dyDescent="0.3">
      <c r="A171" s="102"/>
      <c r="B171" s="104"/>
      <c r="C171" s="1">
        <v>4</v>
      </c>
      <c r="D171" s="1">
        <v>1522</v>
      </c>
      <c r="E171" s="69" t="s">
        <v>55</v>
      </c>
      <c r="F171" s="1" t="s">
        <v>28</v>
      </c>
      <c r="G171" s="1" t="s">
        <v>25</v>
      </c>
      <c r="H171" s="36">
        <v>0.16700000000000001</v>
      </c>
      <c r="I171" s="1">
        <f t="shared" si="27"/>
        <v>0</v>
      </c>
      <c r="J171" s="10">
        <f t="shared" si="28"/>
        <v>0</v>
      </c>
      <c r="K171" s="10">
        <f t="shared" si="29"/>
        <v>0</v>
      </c>
    </row>
    <row r="172" spans="1:11" ht="28" outlineLevel="1" x14ac:dyDescent="0.3">
      <c r="A172" s="101" t="s">
        <v>259</v>
      </c>
      <c r="B172" s="103" t="s">
        <v>7</v>
      </c>
      <c r="C172" s="38">
        <v>8</v>
      </c>
      <c r="D172" s="38">
        <v>114155</v>
      </c>
      <c r="E172" s="38" t="s">
        <v>20</v>
      </c>
      <c r="F172" s="38" t="s">
        <v>27</v>
      </c>
      <c r="G172" s="41" t="s">
        <v>257</v>
      </c>
      <c r="H172" s="47">
        <v>0.7</v>
      </c>
      <c r="I172" s="38">
        <f t="shared" si="24"/>
        <v>163078.57142857145</v>
      </c>
      <c r="J172" s="48">
        <f t="shared" si="25"/>
        <v>6.1320134904296781E-6</v>
      </c>
      <c r="K172" s="48">
        <f t="shared" si="26"/>
        <v>4.9056107923437425E-5</v>
      </c>
    </row>
    <row r="173" spans="1:11" outlineLevel="1" x14ac:dyDescent="0.3">
      <c r="A173" s="102"/>
      <c r="B173" s="104"/>
      <c r="C173" s="38">
        <v>8</v>
      </c>
      <c r="D173" s="38">
        <v>114155</v>
      </c>
      <c r="E173" s="38" t="s">
        <v>62</v>
      </c>
      <c r="F173" s="1" t="s">
        <v>28</v>
      </c>
      <c r="G173" s="1" t="s">
        <v>25</v>
      </c>
      <c r="H173" s="47">
        <v>0.3</v>
      </c>
      <c r="I173" s="38">
        <f t="shared" si="24"/>
        <v>0</v>
      </c>
      <c r="J173" s="48">
        <f t="shared" si="25"/>
        <v>0</v>
      </c>
      <c r="K173" s="48">
        <f t="shared" si="26"/>
        <v>0</v>
      </c>
    </row>
    <row r="174" spans="1:11" outlineLevel="1" x14ac:dyDescent="0.3">
      <c r="A174" s="101" t="s">
        <v>265</v>
      </c>
      <c r="B174" s="103" t="s">
        <v>8</v>
      </c>
      <c r="C174" s="1">
        <v>5</v>
      </c>
      <c r="D174" s="1">
        <v>22831</v>
      </c>
      <c r="E174" s="1" t="s">
        <v>20</v>
      </c>
      <c r="F174" s="1" t="s">
        <v>28</v>
      </c>
      <c r="G174" s="35" t="s">
        <v>25</v>
      </c>
      <c r="H174" s="3">
        <v>0.5</v>
      </c>
      <c r="I174" s="1">
        <f t="shared" si="24"/>
        <v>0</v>
      </c>
      <c r="J174" s="10">
        <f t="shared" si="25"/>
        <v>0</v>
      </c>
      <c r="K174" s="10">
        <f t="shared" si="26"/>
        <v>0</v>
      </c>
    </row>
    <row r="175" spans="1:11" ht="28" outlineLevel="1" x14ac:dyDescent="0.3">
      <c r="A175" s="102"/>
      <c r="B175" s="104"/>
      <c r="C175" s="1">
        <v>5</v>
      </c>
      <c r="D175" s="1">
        <v>22831</v>
      </c>
      <c r="E175" s="1" t="s">
        <v>29</v>
      </c>
      <c r="F175" s="1" t="s">
        <v>27</v>
      </c>
      <c r="G175" s="41" t="s">
        <v>264</v>
      </c>
      <c r="H175" s="3">
        <v>0.5</v>
      </c>
      <c r="I175" s="1">
        <f t="shared" si="24"/>
        <v>45662</v>
      </c>
      <c r="J175" s="10">
        <f t="shared" si="25"/>
        <v>2.1900048180105996E-5</v>
      </c>
      <c r="K175" s="10">
        <f t="shared" si="26"/>
        <v>1.0950024090052998E-4</v>
      </c>
    </row>
    <row r="176" spans="1:11" outlineLevel="1" x14ac:dyDescent="0.3">
      <c r="A176" s="101" t="s">
        <v>266</v>
      </c>
      <c r="B176" s="103" t="s">
        <v>8</v>
      </c>
      <c r="C176" s="1">
        <v>1</v>
      </c>
      <c r="D176" s="1">
        <v>22831</v>
      </c>
      <c r="E176" s="1" t="s">
        <v>20</v>
      </c>
      <c r="F176" s="1" t="s">
        <v>28</v>
      </c>
      <c r="G176" s="35" t="s">
        <v>138</v>
      </c>
      <c r="H176" s="3">
        <v>0.5</v>
      </c>
      <c r="I176" s="1">
        <f t="shared" si="24"/>
        <v>0</v>
      </c>
      <c r="J176" s="10">
        <f t="shared" si="25"/>
        <v>0</v>
      </c>
      <c r="K176" s="10">
        <f t="shared" si="26"/>
        <v>0</v>
      </c>
    </row>
    <row r="177" spans="1:11" outlineLevel="1" x14ac:dyDescent="0.3">
      <c r="A177" s="102"/>
      <c r="B177" s="104"/>
      <c r="C177" s="1">
        <v>1</v>
      </c>
      <c r="D177" s="1">
        <v>22831</v>
      </c>
      <c r="E177" s="1" t="s">
        <v>29</v>
      </c>
      <c r="F177" s="1" t="s">
        <v>28</v>
      </c>
      <c r="G177" s="35" t="s">
        <v>267</v>
      </c>
      <c r="H177" s="3">
        <v>0.5</v>
      </c>
      <c r="I177" s="1">
        <f t="shared" si="24"/>
        <v>0</v>
      </c>
      <c r="J177" s="10">
        <f t="shared" si="25"/>
        <v>0</v>
      </c>
      <c r="K177" s="10">
        <f t="shared" si="26"/>
        <v>0</v>
      </c>
    </row>
    <row r="178" spans="1:11" ht="28" outlineLevel="1" x14ac:dyDescent="0.3">
      <c r="A178" s="101" t="s">
        <v>268</v>
      </c>
      <c r="B178" s="103" t="s">
        <v>7</v>
      </c>
      <c r="C178" s="38">
        <v>8</v>
      </c>
      <c r="D178" s="38">
        <v>114155</v>
      </c>
      <c r="E178" s="38" t="s">
        <v>20</v>
      </c>
      <c r="F178" s="38" t="s">
        <v>27</v>
      </c>
      <c r="G178" s="41" t="s">
        <v>264</v>
      </c>
      <c r="H178" s="47">
        <v>0.7</v>
      </c>
      <c r="I178" s="38">
        <f t="shared" si="24"/>
        <v>163078.57142857145</v>
      </c>
      <c r="J178" s="48">
        <f t="shared" si="25"/>
        <v>6.1320134904296781E-6</v>
      </c>
      <c r="K178" s="48">
        <f t="shared" si="26"/>
        <v>4.9056107923437425E-5</v>
      </c>
    </row>
    <row r="179" spans="1:11" outlineLevel="1" x14ac:dyDescent="0.3">
      <c r="A179" s="102"/>
      <c r="B179" s="104"/>
      <c r="C179" s="38">
        <v>8</v>
      </c>
      <c r="D179" s="38">
        <v>114155</v>
      </c>
      <c r="E179" s="38" t="s">
        <v>62</v>
      </c>
      <c r="F179" s="1" t="s">
        <v>28</v>
      </c>
      <c r="G179" s="35" t="s">
        <v>138</v>
      </c>
      <c r="H179" s="47">
        <v>0.3</v>
      </c>
      <c r="I179" s="38">
        <f t="shared" si="24"/>
        <v>0</v>
      </c>
      <c r="J179" s="48">
        <f t="shared" si="25"/>
        <v>0</v>
      </c>
      <c r="K179" s="48">
        <f t="shared" si="26"/>
        <v>0</v>
      </c>
    </row>
    <row r="180" spans="1:11" ht="28" outlineLevel="1" x14ac:dyDescent="0.3">
      <c r="A180" s="11" t="s">
        <v>269</v>
      </c>
      <c r="B180" s="1" t="s">
        <v>271</v>
      </c>
      <c r="C180" s="1">
        <v>1</v>
      </c>
      <c r="D180" s="81">
        <v>658000000</v>
      </c>
      <c r="E180" s="1" t="s">
        <v>73</v>
      </c>
      <c r="F180" s="1" t="s">
        <v>27</v>
      </c>
      <c r="G180" s="41" t="s">
        <v>264</v>
      </c>
      <c r="H180" s="3">
        <v>1</v>
      </c>
      <c r="I180" s="1">
        <f t="shared" si="24"/>
        <v>658000000</v>
      </c>
      <c r="J180" s="10">
        <f t="shared" si="25"/>
        <v>1.519756838905775E-9</v>
      </c>
      <c r="K180" s="10">
        <f t="shared" si="26"/>
        <v>1.519756838905775E-9</v>
      </c>
    </row>
    <row r="181" spans="1:11" outlineLevel="1" x14ac:dyDescent="0.3">
      <c r="A181" s="11" t="s">
        <v>270</v>
      </c>
      <c r="B181" s="1" t="s">
        <v>272</v>
      </c>
      <c r="C181" s="1">
        <v>1</v>
      </c>
      <c r="D181" s="69">
        <v>7610</v>
      </c>
      <c r="E181" s="1" t="s">
        <v>73</v>
      </c>
      <c r="F181" s="1" t="s">
        <v>28</v>
      </c>
      <c r="G181" s="35" t="s">
        <v>267</v>
      </c>
      <c r="H181" s="3">
        <v>1</v>
      </c>
      <c r="I181" s="1">
        <f t="shared" ref="I181" si="33">IF(F181="yes",D181/H181,0)</f>
        <v>0</v>
      </c>
      <c r="J181" s="10">
        <f t="shared" ref="J181" si="34">IF(I181= 0,0,1/I181)</f>
        <v>0</v>
      </c>
      <c r="K181" s="10">
        <f t="shared" ref="K181" si="35">J181*C181</f>
        <v>0</v>
      </c>
    </row>
    <row r="182" spans="1:11" outlineLevel="1" x14ac:dyDescent="0.3">
      <c r="A182" s="101" t="s">
        <v>273</v>
      </c>
      <c r="B182" s="103" t="s">
        <v>7</v>
      </c>
      <c r="C182" s="38">
        <v>3</v>
      </c>
      <c r="D182" s="38">
        <v>114155</v>
      </c>
      <c r="E182" s="38" t="s">
        <v>20</v>
      </c>
      <c r="F182" s="1" t="s">
        <v>28</v>
      </c>
      <c r="G182" s="35" t="s">
        <v>267</v>
      </c>
      <c r="H182" s="47">
        <v>0.7</v>
      </c>
      <c r="I182" s="38">
        <f t="shared" si="24"/>
        <v>0</v>
      </c>
      <c r="J182" s="48">
        <f t="shared" si="25"/>
        <v>0</v>
      </c>
      <c r="K182" s="48">
        <f t="shared" si="26"/>
        <v>0</v>
      </c>
    </row>
    <row r="183" spans="1:11" outlineLevel="1" x14ac:dyDescent="0.3">
      <c r="A183" s="102"/>
      <c r="B183" s="104"/>
      <c r="C183" s="38">
        <v>3</v>
      </c>
      <c r="D183" s="38">
        <v>114155</v>
      </c>
      <c r="E183" s="38" t="s">
        <v>62</v>
      </c>
      <c r="F183" s="1" t="s">
        <v>28</v>
      </c>
      <c r="G183" s="35" t="s">
        <v>267</v>
      </c>
      <c r="H183" s="47">
        <v>0.3</v>
      </c>
      <c r="I183" s="38">
        <f t="shared" si="24"/>
        <v>0</v>
      </c>
      <c r="J183" s="48">
        <f t="shared" si="25"/>
        <v>0</v>
      </c>
      <c r="K183" s="48">
        <f t="shared" si="26"/>
        <v>0</v>
      </c>
    </row>
    <row r="184" spans="1:11" outlineLevel="1" x14ac:dyDescent="0.3">
      <c r="A184" s="101" t="s">
        <v>275</v>
      </c>
      <c r="B184" s="103" t="s">
        <v>9</v>
      </c>
      <c r="C184" s="1">
        <v>3</v>
      </c>
      <c r="D184" s="1">
        <v>114155</v>
      </c>
      <c r="E184" s="1" t="s">
        <v>20</v>
      </c>
      <c r="F184" s="1" t="s">
        <v>28</v>
      </c>
      <c r="G184" s="1" t="s">
        <v>25</v>
      </c>
      <c r="H184" s="3">
        <v>0.5</v>
      </c>
      <c r="I184" s="1">
        <f t="shared" si="24"/>
        <v>0</v>
      </c>
      <c r="J184" s="10">
        <f t="shared" si="25"/>
        <v>0</v>
      </c>
      <c r="K184" s="10">
        <f t="shared" si="26"/>
        <v>0</v>
      </c>
    </row>
    <row r="185" spans="1:11" ht="28" outlineLevel="1" x14ac:dyDescent="0.3">
      <c r="A185" s="102"/>
      <c r="B185" s="104"/>
      <c r="C185" s="1">
        <v>3</v>
      </c>
      <c r="D185" s="1">
        <v>114155</v>
      </c>
      <c r="E185" s="1" t="s">
        <v>29</v>
      </c>
      <c r="F185" s="1" t="s">
        <v>27</v>
      </c>
      <c r="G185" s="41" t="s">
        <v>264</v>
      </c>
      <c r="H185" s="3">
        <v>0.5</v>
      </c>
      <c r="I185" s="1">
        <f t="shared" si="24"/>
        <v>228310</v>
      </c>
      <c r="J185" s="10">
        <f t="shared" si="25"/>
        <v>4.3800096360211989E-6</v>
      </c>
      <c r="K185" s="10">
        <f t="shared" si="26"/>
        <v>1.3140028908063597E-5</v>
      </c>
    </row>
    <row r="186" spans="1:11" outlineLevel="1" x14ac:dyDescent="0.3">
      <c r="A186" s="119" t="s">
        <v>274</v>
      </c>
      <c r="B186" s="103" t="s">
        <v>9</v>
      </c>
      <c r="C186" s="1">
        <v>2</v>
      </c>
      <c r="D186" s="1">
        <v>114155</v>
      </c>
      <c r="E186" s="1" t="s">
        <v>20</v>
      </c>
      <c r="F186" s="1" t="s">
        <v>28</v>
      </c>
      <c r="G186" s="35" t="s">
        <v>138</v>
      </c>
      <c r="H186" s="3">
        <v>0.5</v>
      </c>
      <c r="I186" s="1">
        <f t="shared" si="24"/>
        <v>0</v>
      </c>
      <c r="J186" s="10">
        <f t="shared" si="25"/>
        <v>0</v>
      </c>
      <c r="K186" s="10">
        <f t="shared" si="26"/>
        <v>0</v>
      </c>
    </row>
    <row r="187" spans="1:11" ht="28" outlineLevel="1" x14ac:dyDescent="0.3">
      <c r="A187" s="120"/>
      <c r="B187" s="104"/>
      <c r="C187" s="1">
        <v>2</v>
      </c>
      <c r="D187" s="1">
        <v>114155</v>
      </c>
      <c r="E187" s="1" t="s">
        <v>29</v>
      </c>
      <c r="F187" s="1" t="s">
        <v>27</v>
      </c>
      <c r="G187" s="41" t="s">
        <v>264</v>
      </c>
      <c r="H187" s="3">
        <v>0.5</v>
      </c>
      <c r="I187" s="1">
        <f t="shared" si="24"/>
        <v>228310</v>
      </c>
      <c r="J187" s="10">
        <f t="shared" si="25"/>
        <v>4.3800096360211989E-6</v>
      </c>
      <c r="K187" s="10">
        <f t="shared" si="26"/>
        <v>8.7600192720423978E-6</v>
      </c>
    </row>
    <row r="188" spans="1:11" outlineLevel="1" x14ac:dyDescent="0.3">
      <c r="A188" s="75"/>
      <c r="B188" s="76"/>
      <c r="C188" s="71"/>
      <c r="D188" s="71"/>
      <c r="E188" s="71"/>
      <c r="F188" s="71"/>
      <c r="G188" s="77"/>
      <c r="H188" s="72"/>
      <c r="I188" s="71"/>
      <c r="J188" s="73"/>
      <c r="K188" s="73"/>
    </row>
    <row r="189" spans="1:11" ht="28" outlineLevel="1" x14ac:dyDescent="0.3">
      <c r="A189" s="119" t="s">
        <v>246</v>
      </c>
      <c r="B189" s="103" t="s">
        <v>9</v>
      </c>
      <c r="C189" s="1">
        <v>2</v>
      </c>
      <c r="D189" s="1">
        <v>114155</v>
      </c>
      <c r="E189" s="1" t="s">
        <v>20</v>
      </c>
      <c r="F189" s="1" t="s">
        <v>27</v>
      </c>
      <c r="G189" s="35" t="s">
        <v>69</v>
      </c>
      <c r="H189" s="3">
        <v>0.5</v>
      </c>
      <c r="I189" s="1">
        <f t="shared" si="19"/>
        <v>228310</v>
      </c>
      <c r="J189" s="10">
        <f t="shared" si="20"/>
        <v>4.3800096360211989E-6</v>
      </c>
      <c r="K189" s="10">
        <f t="shared" si="21"/>
        <v>8.7600192720423978E-6</v>
      </c>
    </row>
    <row r="190" spans="1:11" outlineLevel="1" x14ac:dyDescent="0.3">
      <c r="A190" s="120"/>
      <c r="B190" s="104"/>
      <c r="C190" s="1">
        <v>2</v>
      </c>
      <c r="D190" s="1">
        <v>114155</v>
      </c>
      <c r="E190" s="1" t="s">
        <v>29</v>
      </c>
      <c r="F190" s="1" t="s">
        <v>28</v>
      </c>
      <c r="G190" s="1" t="s">
        <v>25</v>
      </c>
      <c r="H190" s="3">
        <v>0.5</v>
      </c>
      <c r="I190" s="1">
        <f t="shared" si="19"/>
        <v>0</v>
      </c>
      <c r="J190" s="10">
        <f t="shared" si="20"/>
        <v>0</v>
      </c>
      <c r="K190" s="10">
        <f t="shared" si="21"/>
        <v>0</v>
      </c>
    </row>
    <row r="191" spans="1:11" outlineLevel="1" x14ac:dyDescent="0.3">
      <c r="A191" s="119" t="s">
        <v>248</v>
      </c>
      <c r="B191" s="103" t="s">
        <v>9</v>
      </c>
      <c r="C191" s="1">
        <v>1</v>
      </c>
      <c r="D191" s="1">
        <v>114155</v>
      </c>
      <c r="E191" s="1" t="s">
        <v>20</v>
      </c>
      <c r="F191" s="1" t="s">
        <v>28</v>
      </c>
      <c r="G191" s="1" t="s">
        <v>25</v>
      </c>
      <c r="H191" s="3">
        <v>0.5</v>
      </c>
      <c r="I191" s="1">
        <f t="shared" ref="I191:I192" si="36">IF(F191="yes",D191/H191,0)</f>
        <v>0</v>
      </c>
      <c r="J191" s="10">
        <f t="shared" ref="J191:J192" si="37">IF(I191= 0,0,1/I191)</f>
        <v>0</v>
      </c>
      <c r="K191" s="10">
        <f t="shared" ref="K191:K192" si="38">J191*C191</f>
        <v>0</v>
      </c>
    </row>
    <row r="192" spans="1:11" outlineLevel="1" x14ac:dyDescent="0.3">
      <c r="A192" s="120"/>
      <c r="B192" s="104"/>
      <c r="C192" s="1">
        <v>1</v>
      </c>
      <c r="D192" s="1">
        <v>114155</v>
      </c>
      <c r="E192" s="1" t="s">
        <v>29</v>
      </c>
      <c r="F192" s="1" t="s">
        <v>28</v>
      </c>
      <c r="G192" s="1" t="s">
        <v>25</v>
      </c>
      <c r="H192" s="3">
        <v>0.5</v>
      </c>
      <c r="I192" s="1">
        <f t="shared" si="36"/>
        <v>0</v>
      </c>
      <c r="J192" s="10">
        <f t="shared" si="37"/>
        <v>0</v>
      </c>
      <c r="K192" s="10">
        <f t="shared" si="38"/>
        <v>0</v>
      </c>
    </row>
    <row r="193" spans="1:11" ht="28" outlineLevel="1" x14ac:dyDescent="0.3">
      <c r="A193" s="119" t="s">
        <v>249</v>
      </c>
      <c r="B193" s="103" t="s">
        <v>9</v>
      </c>
      <c r="C193" s="1">
        <v>3</v>
      </c>
      <c r="D193" s="1">
        <v>114155</v>
      </c>
      <c r="E193" s="1" t="s">
        <v>20</v>
      </c>
      <c r="F193" s="1" t="s">
        <v>27</v>
      </c>
      <c r="G193" s="35" t="s">
        <v>69</v>
      </c>
      <c r="H193" s="3">
        <v>0.5</v>
      </c>
      <c r="I193" s="1">
        <f t="shared" ref="I193:I212" si="39">IF(F193="yes",D193/H193,0)</f>
        <v>228310</v>
      </c>
      <c r="J193" s="10">
        <f t="shared" ref="J193:J212" si="40">IF(I193= 0,0,1/I193)</f>
        <v>4.3800096360211989E-6</v>
      </c>
      <c r="K193" s="10">
        <f t="shared" ref="K193:K212" si="41">J193*C193</f>
        <v>1.3140028908063597E-5</v>
      </c>
    </row>
    <row r="194" spans="1:11" outlineLevel="1" x14ac:dyDescent="0.3">
      <c r="A194" s="120"/>
      <c r="B194" s="104"/>
      <c r="C194" s="1">
        <v>3</v>
      </c>
      <c r="D194" s="1">
        <v>114155</v>
      </c>
      <c r="E194" s="1" t="s">
        <v>29</v>
      </c>
      <c r="F194" s="1" t="s">
        <v>28</v>
      </c>
      <c r="G194" s="1" t="s">
        <v>25</v>
      </c>
      <c r="H194" s="3">
        <v>0.5</v>
      </c>
      <c r="I194" s="1">
        <f t="shared" si="39"/>
        <v>0</v>
      </c>
      <c r="J194" s="10">
        <f t="shared" si="40"/>
        <v>0</v>
      </c>
      <c r="K194" s="10">
        <f t="shared" si="41"/>
        <v>0</v>
      </c>
    </row>
    <row r="195" spans="1:11" ht="28" outlineLevel="1" x14ac:dyDescent="0.3">
      <c r="A195" s="112" t="s">
        <v>210</v>
      </c>
      <c r="B195" s="107" t="s">
        <v>7</v>
      </c>
      <c r="C195" s="1">
        <v>1</v>
      </c>
      <c r="D195" s="1">
        <v>114155</v>
      </c>
      <c r="E195" s="1" t="s">
        <v>20</v>
      </c>
      <c r="F195" s="1" t="s">
        <v>27</v>
      </c>
      <c r="G195" s="35" t="s">
        <v>70</v>
      </c>
      <c r="H195" s="3">
        <v>0.7</v>
      </c>
      <c r="I195" s="1">
        <f t="shared" si="39"/>
        <v>163078.57142857145</v>
      </c>
      <c r="J195" s="10">
        <f t="shared" si="40"/>
        <v>6.1320134904296781E-6</v>
      </c>
      <c r="K195" s="10">
        <f t="shared" si="41"/>
        <v>6.1320134904296781E-6</v>
      </c>
    </row>
    <row r="196" spans="1:11" outlineLevel="1" x14ac:dyDescent="0.3">
      <c r="A196" s="113"/>
      <c r="B196" s="108"/>
      <c r="C196" s="1">
        <v>1</v>
      </c>
      <c r="D196" s="1">
        <v>114155</v>
      </c>
      <c r="E196" s="1" t="s">
        <v>24</v>
      </c>
      <c r="F196" s="1" t="s">
        <v>28</v>
      </c>
      <c r="G196" s="1" t="s">
        <v>25</v>
      </c>
      <c r="H196" s="3">
        <v>0.3</v>
      </c>
      <c r="I196" s="1">
        <f t="shared" si="39"/>
        <v>0</v>
      </c>
      <c r="J196" s="10">
        <f t="shared" si="40"/>
        <v>0</v>
      </c>
      <c r="K196" s="10">
        <f t="shared" si="41"/>
        <v>0</v>
      </c>
    </row>
    <row r="197" spans="1:11" ht="28" outlineLevel="1" x14ac:dyDescent="0.3">
      <c r="A197" s="101" t="s">
        <v>211</v>
      </c>
      <c r="B197" s="103" t="s">
        <v>7</v>
      </c>
      <c r="C197" s="38">
        <v>2</v>
      </c>
      <c r="D197" s="82">
        <v>57305.9</v>
      </c>
      <c r="E197" s="38" t="s">
        <v>20</v>
      </c>
      <c r="F197" s="38" t="s">
        <v>27</v>
      </c>
      <c r="G197" s="41" t="s">
        <v>257</v>
      </c>
      <c r="H197" s="47">
        <v>0.7</v>
      </c>
      <c r="I197" s="38">
        <f t="shared" si="39"/>
        <v>81865.571428571435</v>
      </c>
      <c r="J197" s="48">
        <f t="shared" si="40"/>
        <v>1.2215147131447197E-5</v>
      </c>
      <c r="K197" s="48">
        <f t="shared" si="41"/>
        <v>2.4430294262894394E-5</v>
      </c>
    </row>
    <row r="198" spans="1:11" outlineLevel="1" x14ac:dyDescent="0.3">
      <c r="A198" s="102"/>
      <c r="B198" s="104"/>
      <c r="C198" s="38">
        <v>2</v>
      </c>
      <c r="D198" s="82">
        <v>57305.9</v>
      </c>
      <c r="E198" s="38" t="s">
        <v>148</v>
      </c>
      <c r="F198" s="38" t="s">
        <v>28</v>
      </c>
      <c r="G198" s="41" t="s">
        <v>25</v>
      </c>
      <c r="H198" s="47">
        <v>0.3</v>
      </c>
      <c r="I198" s="38">
        <f t="shared" si="39"/>
        <v>0</v>
      </c>
      <c r="J198" s="48">
        <f t="shared" si="40"/>
        <v>0</v>
      </c>
      <c r="K198" s="48">
        <f t="shared" si="41"/>
        <v>0</v>
      </c>
    </row>
    <row r="199" spans="1:11" outlineLevel="1" x14ac:dyDescent="0.3">
      <c r="A199" s="105" t="s">
        <v>212</v>
      </c>
      <c r="B199" s="107" t="s">
        <v>8</v>
      </c>
      <c r="C199" s="1">
        <v>10</v>
      </c>
      <c r="D199" s="1">
        <v>22831</v>
      </c>
      <c r="E199" s="1" t="s">
        <v>20</v>
      </c>
      <c r="F199" s="1" t="s">
        <v>28</v>
      </c>
      <c r="G199" s="1" t="s">
        <v>25</v>
      </c>
      <c r="H199" s="3">
        <v>0.5</v>
      </c>
      <c r="I199" s="1">
        <f t="shared" si="39"/>
        <v>0</v>
      </c>
      <c r="J199" s="10">
        <f t="shared" si="40"/>
        <v>0</v>
      </c>
      <c r="K199" s="10">
        <f t="shared" si="41"/>
        <v>0</v>
      </c>
    </row>
    <row r="200" spans="1:11" ht="28" outlineLevel="1" x14ac:dyDescent="0.3">
      <c r="A200" s="106"/>
      <c r="B200" s="108"/>
      <c r="C200" s="1">
        <v>10</v>
      </c>
      <c r="D200" s="1">
        <v>22831</v>
      </c>
      <c r="E200" s="1" t="s">
        <v>29</v>
      </c>
      <c r="F200" s="1" t="s">
        <v>27</v>
      </c>
      <c r="G200" s="35" t="s">
        <v>71</v>
      </c>
      <c r="H200" s="3">
        <v>0.5</v>
      </c>
      <c r="I200" s="1">
        <f t="shared" si="39"/>
        <v>45662</v>
      </c>
      <c r="J200" s="10">
        <f t="shared" si="40"/>
        <v>2.1900048180105996E-5</v>
      </c>
      <c r="K200" s="10">
        <f t="shared" si="41"/>
        <v>2.1900048180105997E-4</v>
      </c>
    </row>
    <row r="201" spans="1:11" outlineLevel="1" x14ac:dyDescent="0.3">
      <c r="A201" s="105" t="s">
        <v>213</v>
      </c>
      <c r="B201" s="107" t="s">
        <v>8</v>
      </c>
      <c r="C201" s="1">
        <v>3</v>
      </c>
      <c r="D201" s="1">
        <v>22831</v>
      </c>
      <c r="E201" s="1" t="s">
        <v>20</v>
      </c>
      <c r="F201" s="1" t="s">
        <v>28</v>
      </c>
      <c r="G201" s="1" t="s">
        <v>25</v>
      </c>
      <c r="H201" s="3">
        <v>0.5</v>
      </c>
      <c r="I201" s="1">
        <f t="shared" si="39"/>
        <v>0</v>
      </c>
      <c r="J201" s="10">
        <f t="shared" si="40"/>
        <v>0</v>
      </c>
      <c r="K201" s="10">
        <f t="shared" si="41"/>
        <v>0</v>
      </c>
    </row>
    <row r="202" spans="1:11" ht="28" outlineLevel="1" x14ac:dyDescent="0.3">
      <c r="A202" s="106"/>
      <c r="B202" s="108"/>
      <c r="C202" s="1">
        <v>3</v>
      </c>
      <c r="D202" s="1">
        <v>22831</v>
      </c>
      <c r="E202" s="1" t="s">
        <v>29</v>
      </c>
      <c r="F202" s="1" t="s">
        <v>27</v>
      </c>
      <c r="G202" s="35" t="s">
        <v>215</v>
      </c>
      <c r="H202" s="3">
        <v>0.5</v>
      </c>
      <c r="I202" s="1">
        <f t="shared" si="39"/>
        <v>45662</v>
      </c>
      <c r="J202" s="10">
        <f t="shared" si="40"/>
        <v>2.1900048180105996E-5</v>
      </c>
      <c r="K202" s="10">
        <f t="shared" si="41"/>
        <v>6.5700144540317985E-5</v>
      </c>
    </row>
    <row r="203" spans="1:11" outlineLevel="1" x14ac:dyDescent="0.3">
      <c r="A203" s="105" t="s">
        <v>214</v>
      </c>
      <c r="B203" s="107" t="s">
        <v>8</v>
      </c>
      <c r="C203" s="1">
        <v>2</v>
      </c>
      <c r="D203" s="1">
        <v>22831</v>
      </c>
      <c r="E203" s="1" t="s">
        <v>20</v>
      </c>
      <c r="F203" s="1" t="s">
        <v>28</v>
      </c>
      <c r="G203" s="1" t="s">
        <v>25</v>
      </c>
      <c r="H203" s="3">
        <v>0.5</v>
      </c>
      <c r="I203" s="1">
        <f t="shared" si="39"/>
        <v>0</v>
      </c>
      <c r="J203" s="10">
        <f t="shared" si="40"/>
        <v>0</v>
      </c>
      <c r="K203" s="10">
        <f t="shared" si="41"/>
        <v>0</v>
      </c>
    </row>
    <row r="204" spans="1:11" outlineLevel="1" x14ac:dyDescent="0.3">
      <c r="A204" s="106"/>
      <c r="B204" s="108"/>
      <c r="C204" s="1">
        <v>2</v>
      </c>
      <c r="D204" s="1">
        <v>22831</v>
      </c>
      <c r="E204" s="1" t="s">
        <v>29</v>
      </c>
      <c r="F204" s="1" t="s">
        <v>28</v>
      </c>
      <c r="G204" s="1" t="s">
        <v>25</v>
      </c>
      <c r="H204" s="3">
        <v>0.5</v>
      </c>
      <c r="I204" s="1">
        <f t="shared" si="39"/>
        <v>0</v>
      </c>
      <c r="J204" s="10">
        <f t="shared" si="40"/>
        <v>0</v>
      </c>
      <c r="K204" s="10">
        <f t="shared" si="41"/>
        <v>0</v>
      </c>
    </row>
    <row r="205" spans="1:11" ht="28" outlineLevel="1" x14ac:dyDescent="0.3">
      <c r="A205" s="11" t="s">
        <v>218</v>
      </c>
      <c r="B205" s="1" t="s">
        <v>72</v>
      </c>
      <c r="C205" s="1">
        <v>1</v>
      </c>
      <c r="D205" s="80">
        <v>1490.82</v>
      </c>
      <c r="E205" s="1" t="s">
        <v>73</v>
      </c>
      <c r="F205" s="1" t="s">
        <v>27</v>
      </c>
      <c r="G205" s="35" t="s">
        <v>71</v>
      </c>
      <c r="H205" s="3">
        <v>1</v>
      </c>
      <c r="I205" s="1">
        <f t="shared" si="39"/>
        <v>1490.82</v>
      </c>
      <c r="J205" s="10">
        <f t="shared" si="40"/>
        <v>6.7077179002159883E-4</v>
      </c>
      <c r="K205" s="10">
        <f t="shared" si="41"/>
        <v>6.7077179002159883E-4</v>
      </c>
    </row>
    <row r="206" spans="1:11" ht="42" outlineLevel="1" x14ac:dyDescent="0.3">
      <c r="A206" s="11" t="s">
        <v>216</v>
      </c>
      <c r="B206" s="1" t="s">
        <v>217</v>
      </c>
      <c r="C206" s="1">
        <v>1</v>
      </c>
      <c r="D206" s="69">
        <v>17.767790000000002</v>
      </c>
      <c r="E206" s="1" t="s">
        <v>73</v>
      </c>
      <c r="F206" s="1" t="s">
        <v>27</v>
      </c>
      <c r="G206" s="35" t="s">
        <v>223</v>
      </c>
      <c r="H206" s="3">
        <v>1</v>
      </c>
      <c r="I206" s="1">
        <f t="shared" si="39"/>
        <v>17.767790000000002</v>
      </c>
      <c r="J206" s="10">
        <f t="shared" si="40"/>
        <v>5.628161971747752E-2</v>
      </c>
      <c r="K206" s="10">
        <f t="shared" si="41"/>
        <v>5.628161971747752E-2</v>
      </c>
    </row>
    <row r="207" spans="1:11" ht="42" outlineLevel="1" x14ac:dyDescent="0.3">
      <c r="A207" s="101" t="s">
        <v>222</v>
      </c>
      <c r="B207" s="103" t="s">
        <v>221</v>
      </c>
      <c r="C207" s="1">
        <v>1</v>
      </c>
      <c r="D207" s="1">
        <v>11415</v>
      </c>
      <c r="E207" s="1" t="s">
        <v>20</v>
      </c>
      <c r="F207" s="1" t="s">
        <v>27</v>
      </c>
      <c r="G207" s="35" t="s">
        <v>224</v>
      </c>
      <c r="H207" s="3">
        <v>0.7</v>
      </c>
      <c r="I207" s="1">
        <f t="shared" si="39"/>
        <v>16307.142857142859</v>
      </c>
      <c r="J207" s="10">
        <f t="shared" si="40"/>
        <v>6.1322820849759089E-5</v>
      </c>
      <c r="K207" s="10">
        <f t="shared" si="41"/>
        <v>6.1322820849759089E-5</v>
      </c>
    </row>
    <row r="208" spans="1:11" ht="42" outlineLevel="1" x14ac:dyDescent="0.3">
      <c r="A208" s="102"/>
      <c r="B208" s="104"/>
      <c r="C208" s="1">
        <v>1</v>
      </c>
      <c r="D208" s="1">
        <v>11415</v>
      </c>
      <c r="E208" s="1" t="s">
        <v>62</v>
      </c>
      <c r="F208" s="1" t="s">
        <v>27</v>
      </c>
      <c r="G208" s="35" t="s">
        <v>225</v>
      </c>
      <c r="H208" s="3">
        <v>0.3</v>
      </c>
      <c r="I208" s="1">
        <f t="shared" si="39"/>
        <v>38050</v>
      </c>
      <c r="J208" s="10">
        <f t="shared" si="40"/>
        <v>2.6281208935611039E-5</v>
      </c>
      <c r="K208" s="10">
        <f t="shared" si="41"/>
        <v>2.6281208935611039E-5</v>
      </c>
    </row>
    <row r="209" spans="1:11" outlineLevel="1" x14ac:dyDescent="0.3">
      <c r="A209" s="101" t="s">
        <v>220</v>
      </c>
      <c r="B209" s="103" t="s">
        <v>7</v>
      </c>
      <c r="C209" s="1">
        <v>1</v>
      </c>
      <c r="D209" s="1">
        <v>114155</v>
      </c>
      <c r="E209" s="1" t="s">
        <v>20</v>
      </c>
      <c r="F209" s="1" t="s">
        <v>28</v>
      </c>
      <c r="G209" s="35" t="s">
        <v>25</v>
      </c>
      <c r="H209" s="3">
        <v>0.7</v>
      </c>
      <c r="I209" s="1">
        <f t="shared" si="39"/>
        <v>0</v>
      </c>
      <c r="J209" s="10">
        <f t="shared" si="40"/>
        <v>0</v>
      </c>
      <c r="K209" s="10">
        <f t="shared" si="41"/>
        <v>0</v>
      </c>
    </row>
    <row r="210" spans="1:11" outlineLevel="1" x14ac:dyDescent="0.3">
      <c r="A210" s="102"/>
      <c r="B210" s="104"/>
      <c r="C210" s="1">
        <v>1</v>
      </c>
      <c r="D210" s="1">
        <v>114155</v>
      </c>
      <c r="E210" s="1" t="s">
        <v>62</v>
      </c>
      <c r="F210" s="1" t="s">
        <v>28</v>
      </c>
      <c r="G210" s="35" t="s">
        <v>25</v>
      </c>
      <c r="H210" s="3">
        <v>0.3</v>
      </c>
      <c r="I210" s="1">
        <f t="shared" si="39"/>
        <v>0</v>
      </c>
      <c r="J210" s="10">
        <f t="shared" si="40"/>
        <v>0</v>
      </c>
      <c r="K210" s="10">
        <f t="shared" si="41"/>
        <v>0</v>
      </c>
    </row>
    <row r="211" spans="1:11" ht="28" outlineLevel="1" x14ac:dyDescent="0.3">
      <c r="A211" s="101" t="s">
        <v>219</v>
      </c>
      <c r="B211" s="103" t="s">
        <v>7</v>
      </c>
      <c r="C211" s="1">
        <v>5</v>
      </c>
      <c r="D211" s="1">
        <v>114155</v>
      </c>
      <c r="E211" s="1" t="s">
        <v>20</v>
      </c>
      <c r="F211" s="1" t="s">
        <v>27</v>
      </c>
      <c r="G211" s="35" t="s">
        <v>226</v>
      </c>
      <c r="H211" s="3">
        <v>0.7</v>
      </c>
      <c r="I211" s="1">
        <f t="shared" si="39"/>
        <v>163078.57142857145</v>
      </c>
      <c r="J211" s="10">
        <f t="shared" si="40"/>
        <v>6.1320134904296781E-6</v>
      </c>
      <c r="K211" s="10">
        <f t="shared" si="41"/>
        <v>3.0660067452148394E-5</v>
      </c>
    </row>
    <row r="212" spans="1:11" outlineLevel="1" x14ac:dyDescent="0.3">
      <c r="A212" s="102"/>
      <c r="B212" s="104"/>
      <c r="C212" s="1">
        <v>5</v>
      </c>
      <c r="D212" s="1">
        <v>114155</v>
      </c>
      <c r="E212" s="1" t="s">
        <v>62</v>
      </c>
      <c r="F212" s="1" t="s">
        <v>28</v>
      </c>
      <c r="G212" s="35" t="s">
        <v>25</v>
      </c>
      <c r="H212" s="3">
        <v>0.3</v>
      </c>
      <c r="I212" s="1">
        <f t="shared" si="39"/>
        <v>0</v>
      </c>
      <c r="J212" s="10">
        <f t="shared" si="40"/>
        <v>0</v>
      </c>
      <c r="K212" s="10">
        <f t="shared" si="41"/>
        <v>0</v>
      </c>
    </row>
    <row r="213" spans="1:11" outlineLevel="1" x14ac:dyDescent="0.3">
      <c r="A213" s="109"/>
      <c r="B213" s="110"/>
      <c r="C213" s="110"/>
      <c r="D213" s="110"/>
      <c r="E213" s="110"/>
      <c r="F213" s="110"/>
      <c r="G213" s="110"/>
      <c r="H213" s="110"/>
      <c r="I213" s="110"/>
      <c r="J213" s="110"/>
      <c r="K213" s="111"/>
    </row>
    <row r="214" spans="1:11" ht="28" outlineLevel="1" x14ac:dyDescent="0.3">
      <c r="A214" s="11" t="s">
        <v>126</v>
      </c>
      <c r="B214" s="1" t="s">
        <v>74</v>
      </c>
      <c r="C214" s="1">
        <v>1</v>
      </c>
      <c r="D214" s="1">
        <v>891.28</v>
      </c>
      <c r="E214" s="1" t="s">
        <v>73</v>
      </c>
      <c r="F214" s="1" t="s">
        <v>27</v>
      </c>
      <c r="G214" s="35" t="s">
        <v>75</v>
      </c>
      <c r="H214" s="3">
        <v>1</v>
      </c>
      <c r="I214" s="1">
        <f t="shared" ref="I214:I234" si="42">IF(F214="yes",D214/H214,0)</f>
        <v>891.28</v>
      </c>
      <c r="J214" s="10">
        <f t="shared" si="20"/>
        <v>1.1219818687730006E-3</v>
      </c>
      <c r="K214" s="10">
        <f t="shared" ref="K214:K234" si="43">J214*C214</f>
        <v>1.1219818687730006E-3</v>
      </c>
    </row>
    <row r="215" spans="1:11" outlineLevel="1" x14ac:dyDescent="0.3">
      <c r="A215" s="101" t="s">
        <v>228</v>
      </c>
      <c r="B215" s="103" t="s">
        <v>8</v>
      </c>
      <c r="C215" s="1">
        <v>2</v>
      </c>
      <c r="D215" s="1">
        <v>22831</v>
      </c>
      <c r="E215" s="1" t="s">
        <v>20</v>
      </c>
      <c r="F215" s="1" t="s">
        <v>28</v>
      </c>
      <c r="G215" s="1" t="s">
        <v>25</v>
      </c>
      <c r="H215" s="3">
        <v>0.5</v>
      </c>
      <c r="I215" s="1">
        <f t="shared" si="42"/>
        <v>0</v>
      </c>
      <c r="J215" s="10">
        <f t="shared" si="20"/>
        <v>0</v>
      </c>
      <c r="K215" s="10">
        <f t="shared" si="43"/>
        <v>0</v>
      </c>
    </row>
    <row r="216" spans="1:11" ht="28" outlineLevel="1" x14ac:dyDescent="0.3">
      <c r="A216" s="102"/>
      <c r="B216" s="104"/>
      <c r="C216" s="1">
        <v>2</v>
      </c>
      <c r="D216" s="1">
        <v>22831</v>
      </c>
      <c r="E216" s="1" t="s">
        <v>29</v>
      </c>
      <c r="F216" s="1" t="s">
        <v>27</v>
      </c>
      <c r="G216" s="35" t="s">
        <v>76</v>
      </c>
      <c r="H216" s="3">
        <v>0.5</v>
      </c>
      <c r="I216" s="1">
        <f t="shared" si="42"/>
        <v>45662</v>
      </c>
      <c r="J216" s="10">
        <f t="shared" si="20"/>
        <v>2.1900048180105996E-5</v>
      </c>
      <c r="K216" s="10">
        <f t="shared" si="43"/>
        <v>4.3800096360211993E-5</v>
      </c>
    </row>
    <row r="217" spans="1:11" ht="28" outlineLevel="1" x14ac:dyDescent="0.3">
      <c r="A217" s="101" t="s">
        <v>227</v>
      </c>
      <c r="B217" s="103" t="s">
        <v>8</v>
      </c>
      <c r="C217" s="1">
        <v>2</v>
      </c>
      <c r="D217" s="1">
        <v>22831</v>
      </c>
      <c r="E217" s="1" t="s">
        <v>20</v>
      </c>
      <c r="F217" s="1" t="s">
        <v>27</v>
      </c>
      <c r="G217" s="35" t="s">
        <v>77</v>
      </c>
      <c r="H217" s="3">
        <v>0.5</v>
      </c>
      <c r="I217" s="1">
        <f t="shared" si="42"/>
        <v>45662</v>
      </c>
      <c r="J217" s="10">
        <f t="shared" si="20"/>
        <v>2.1900048180105996E-5</v>
      </c>
      <c r="K217" s="10">
        <f t="shared" si="43"/>
        <v>4.3800096360211993E-5</v>
      </c>
    </row>
    <row r="218" spans="1:11" ht="28" outlineLevel="1" x14ac:dyDescent="0.3">
      <c r="A218" s="102"/>
      <c r="B218" s="104"/>
      <c r="C218" s="1">
        <v>2</v>
      </c>
      <c r="D218" s="1">
        <v>22831</v>
      </c>
      <c r="E218" s="1" t="s">
        <v>29</v>
      </c>
      <c r="F218" s="1" t="s">
        <v>27</v>
      </c>
      <c r="G218" s="35" t="s">
        <v>77</v>
      </c>
      <c r="H218" s="3">
        <v>0.5</v>
      </c>
      <c r="I218" s="1">
        <f t="shared" si="42"/>
        <v>45662</v>
      </c>
      <c r="J218" s="10">
        <f t="shared" ref="J218:J253" si="44">IF(I218= 0,0,1/I218)</f>
        <v>2.1900048180105996E-5</v>
      </c>
      <c r="K218" s="10">
        <f t="shared" si="43"/>
        <v>4.3800096360211993E-5</v>
      </c>
    </row>
    <row r="219" spans="1:11" ht="28" outlineLevel="1" x14ac:dyDescent="0.3">
      <c r="A219" s="37" t="s">
        <v>123</v>
      </c>
      <c r="B219" s="38" t="s">
        <v>11</v>
      </c>
      <c r="C219" s="1">
        <v>1</v>
      </c>
      <c r="D219" s="1">
        <v>3805.2</v>
      </c>
      <c r="E219" s="1" t="s">
        <v>73</v>
      </c>
      <c r="F219" s="1" t="s">
        <v>27</v>
      </c>
      <c r="G219" s="35" t="s">
        <v>78</v>
      </c>
      <c r="H219" s="3">
        <v>1</v>
      </c>
      <c r="I219" s="1">
        <f t="shared" si="42"/>
        <v>3805.2</v>
      </c>
      <c r="J219" s="10">
        <f t="shared" si="44"/>
        <v>2.6279827604330916E-4</v>
      </c>
      <c r="K219" s="10">
        <f t="shared" si="43"/>
        <v>2.6279827604330916E-4</v>
      </c>
    </row>
    <row r="220" spans="1:11" outlineLevel="1" x14ac:dyDescent="0.3">
      <c r="A220" s="101" t="s">
        <v>229</v>
      </c>
      <c r="B220" s="103" t="s">
        <v>7</v>
      </c>
      <c r="C220" s="1">
        <v>6</v>
      </c>
      <c r="D220" s="1">
        <v>114155</v>
      </c>
      <c r="E220" s="1" t="s">
        <v>20</v>
      </c>
      <c r="F220" s="1" t="s">
        <v>28</v>
      </c>
      <c r="G220" s="1" t="s">
        <v>25</v>
      </c>
      <c r="H220" s="3">
        <v>0.7</v>
      </c>
      <c r="I220" s="1">
        <f t="shared" si="42"/>
        <v>0</v>
      </c>
      <c r="J220" s="10">
        <f t="shared" si="44"/>
        <v>0</v>
      </c>
      <c r="K220" s="10">
        <f t="shared" si="43"/>
        <v>0</v>
      </c>
    </row>
    <row r="221" spans="1:11" ht="28" outlineLevel="1" x14ac:dyDescent="0.3">
      <c r="A221" s="102"/>
      <c r="B221" s="104"/>
      <c r="C221" s="1">
        <v>6</v>
      </c>
      <c r="D221" s="1">
        <v>114155</v>
      </c>
      <c r="E221" s="1" t="s">
        <v>62</v>
      </c>
      <c r="F221" s="1" t="s">
        <v>27</v>
      </c>
      <c r="G221" s="35" t="s">
        <v>76</v>
      </c>
      <c r="H221" s="3">
        <v>0.3</v>
      </c>
      <c r="I221" s="1">
        <f t="shared" si="42"/>
        <v>380516.66666666669</v>
      </c>
      <c r="J221" s="10">
        <f t="shared" si="44"/>
        <v>2.6280057816127193E-6</v>
      </c>
      <c r="K221" s="10">
        <f t="shared" si="43"/>
        <v>1.5768034689676315E-5</v>
      </c>
    </row>
    <row r="222" spans="1:11" ht="28" outlineLevel="1" x14ac:dyDescent="0.3">
      <c r="A222" s="101" t="s">
        <v>232</v>
      </c>
      <c r="B222" s="103" t="s">
        <v>8</v>
      </c>
      <c r="C222" s="1">
        <v>5</v>
      </c>
      <c r="D222" s="1">
        <v>22831</v>
      </c>
      <c r="E222" s="1" t="s">
        <v>20</v>
      </c>
      <c r="F222" s="1" t="s">
        <v>28</v>
      </c>
      <c r="G222" s="35" t="s">
        <v>230</v>
      </c>
      <c r="H222" s="3">
        <v>0.5</v>
      </c>
      <c r="I222" s="1">
        <f t="shared" si="42"/>
        <v>0</v>
      </c>
      <c r="J222" s="10">
        <f t="shared" si="44"/>
        <v>0</v>
      </c>
      <c r="K222" s="10">
        <f t="shared" si="43"/>
        <v>0</v>
      </c>
    </row>
    <row r="223" spans="1:11" outlineLevel="1" x14ac:dyDescent="0.3">
      <c r="A223" s="102"/>
      <c r="B223" s="104"/>
      <c r="C223" s="1">
        <v>5</v>
      </c>
      <c r="D223" s="1">
        <v>22831</v>
      </c>
      <c r="E223" s="1" t="s">
        <v>29</v>
      </c>
      <c r="F223" s="1" t="s">
        <v>28</v>
      </c>
      <c r="G223" s="1" t="s">
        <v>25</v>
      </c>
      <c r="H223" s="3">
        <v>0.5</v>
      </c>
      <c r="I223" s="1">
        <f t="shared" si="42"/>
        <v>0</v>
      </c>
      <c r="J223" s="10">
        <f t="shared" si="44"/>
        <v>0</v>
      </c>
      <c r="K223" s="10">
        <f t="shared" si="43"/>
        <v>0</v>
      </c>
    </row>
    <row r="224" spans="1:11" ht="28" outlineLevel="1" x14ac:dyDescent="0.3">
      <c r="A224" s="101" t="s">
        <v>231</v>
      </c>
      <c r="B224" s="103" t="s">
        <v>7</v>
      </c>
      <c r="C224" s="1">
        <v>2</v>
      </c>
      <c r="D224" s="38">
        <v>114155</v>
      </c>
      <c r="E224" s="38" t="s">
        <v>20</v>
      </c>
      <c r="F224" s="1" t="s">
        <v>28</v>
      </c>
      <c r="G224" s="35" t="s">
        <v>230</v>
      </c>
      <c r="H224" s="3">
        <v>0.7</v>
      </c>
      <c r="I224" s="1">
        <f t="shared" si="42"/>
        <v>0</v>
      </c>
      <c r="J224" s="10">
        <f t="shared" si="44"/>
        <v>0</v>
      </c>
      <c r="K224" s="10">
        <f t="shared" si="43"/>
        <v>0</v>
      </c>
    </row>
    <row r="225" spans="1:11" outlineLevel="1" x14ac:dyDescent="0.3">
      <c r="A225" s="102"/>
      <c r="B225" s="104"/>
      <c r="C225" s="1">
        <v>2</v>
      </c>
      <c r="D225" s="38">
        <v>114155</v>
      </c>
      <c r="E225" s="38" t="s">
        <v>62</v>
      </c>
      <c r="F225" s="1" t="s">
        <v>28</v>
      </c>
      <c r="G225" s="1" t="s">
        <v>25</v>
      </c>
      <c r="H225" s="3">
        <v>0.3</v>
      </c>
      <c r="I225" s="1">
        <f t="shared" si="42"/>
        <v>0</v>
      </c>
      <c r="J225" s="10">
        <f t="shared" si="44"/>
        <v>0</v>
      </c>
      <c r="K225" s="10">
        <f t="shared" si="43"/>
        <v>0</v>
      </c>
    </row>
    <row r="226" spans="1:11" outlineLevel="1" x14ac:dyDescent="0.3">
      <c r="A226" s="101" t="s">
        <v>233</v>
      </c>
      <c r="B226" s="103" t="s">
        <v>7</v>
      </c>
      <c r="C226" s="1">
        <v>4</v>
      </c>
      <c r="D226" s="38">
        <v>114155</v>
      </c>
      <c r="E226" s="1" t="s">
        <v>20</v>
      </c>
      <c r="F226" s="1" t="s">
        <v>28</v>
      </c>
      <c r="G226" s="1" t="s">
        <v>25</v>
      </c>
      <c r="H226" s="3">
        <v>0.7</v>
      </c>
      <c r="I226" s="1">
        <f t="shared" si="42"/>
        <v>0</v>
      </c>
      <c r="J226" s="10">
        <f t="shared" si="44"/>
        <v>0</v>
      </c>
      <c r="K226" s="10">
        <f t="shared" si="43"/>
        <v>0</v>
      </c>
    </row>
    <row r="227" spans="1:11" outlineLevel="1" x14ac:dyDescent="0.3">
      <c r="A227" s="102"/>
      <c r="B227" s="104"/>
      <c r="C227" s="1">
        <v>4</v>
      </c>
      <c r="D227" s="38">
        <v>114155</v>
      </c>
      <c r="E227" s="1" t="s">
        <v>62</v>
      </c>
      <c r="F227" s="1" t="s">
        <v>28</v>
      </c>
      <c r="G227" s="1" t="s">
        <v>25</v>
      </c>
      <c r="H227" s="3">
        <v>0.3</v>
      </c>
      <c r="I227" s="1">
        <f t="shared" si="42"/>
        <v>0</v>
      </c>
      <c r="J227" s="10">
        <f t="shared" si="44"/>
        <v>0</v>
      </c>
      <c r="K227" s="10">
        <f t="shared" si="43"/>
        <v>0</v>
      </c>
    </row>
    <row r="228" spans="1:11" ht="42" outlineLevel="1" x14ac:dyDescent="0.3">
      <c r="A228" s="101" t="s">
        <v>237</v>
      </c>
      <c r="B228" s="103" t="s">
        <v>7</v>
      </c>
      <c r="C228" s="1">
        <v>1</v>
      </c>
      <c r="D228" s="38">
        <v>114155</v>
      </c>
      <c r="E228" s="38" t="s">
        <v>20</v>
      </c>
      <c r="F228" s="1" t="s">
        <v>27</v>
      </c>
      <c r="G228" s="35" t="s">
        <v>79</v>
      </c>
      <c r="H228" s="3">
        <v>0.7</v>
      </c>
      <c r="I228" s="1">
        <f t="shared" ref="I228:I231" si="45">IF(F228="yes",D228/H228,0)</f>
        <v>163078.57142857145</v>
      </c>
      <c r="J228" s="10">
        <f t="shared" ref="J228:J231" si="46">IF(I228= 0,0,1/I228)</f>
        <v>6.1320134904296781E-6</v>
      </c>
      <c r="K228" s="10">
        <f t="shared" ref="K228:K231" si="47">J228*C228</f>
        <v>6.1320134904296781E-6</v>
      </c>
    </row>
    <row r="229" spans="1:11" outlineLevel="1" x14ac:dyDescent="0.3">
      <c r="A229" s="102"/>
      <c r="B229" s="104"/>
      <c r="C229" s="1">
        <v>1</v>
      </c>
      <c r="D229" s="38">
        <v>114155</v>
      </c>
      <c r="E229" s="38" t="s">
        <v>62</v>
      </c>
      <c r="F229" s="1" t="s">
        <v>28</v>
      </c>
      <c r="G229" s="1" t="s">
        <v>25</v>
      </c>
      <c r="H229" s="3">
        <v>0.3</v>
      </c>
      <c r="I229" s="1">
        <f t="shared" si="45"/>
        <v>0</v>
      </c>
      <c r="J229" s="10">
        <f t="shared" si="46"/>
        <v>0</v>
      </c>
      <c r="K229" s="10">
        <f t="shared" si="47"/>
        <v>0</v>
      </c>
    </row>
    <row r="230" spans="1:11" ht="56" outlineLevel="1" x14ac:dyDescent="0.3">
      <c r="A230" s="101" t="s">
        <v>236</v>
      </c>
      <c r="B230" s="103" t="s">
        <v>7</v>
      </c>
      <c r="C230" s="1">
        <v>1</v>
      </c>
      <c r="D230" s="38">
        <v>114155</v>
      </c>
      <c r="E230" s="38" t="s">
        <v>20</v>
      </c>
      <c r="F230" s="1" t="s">
        <v>27</v>
      </c>
      <c r="G230" s="35" t="s">
        <v>80</v>
      </c>
      <c r="H230" s="3">
        <v>0.7</v>
      </c>
      <c r="I230" s="1">
        <f t="shared" si="45"/>
        <v>163078.57142857145</v>
      </c>
      <c r="J230" s="10">
        <f t="shared" si="46"/>
        <v>6.1320134904296781E-6</v>
      </c>
      <c r="K230" s="10">
        <f t="shared" si="47"/>
        <v>6.1320134904296781E-6</v>
      </c>
    </row>
    <row r="231" spans="1:11" outlineLevel="1" x14ac:dyDescent="0.3">
      <c r="A231" s="102"/>
      <c r="B231" s="104"/>
      <c r="C231" s="1">
        <v>1</v>
      </c>
      <c r="D231" s="38">
        <v>114155</v>
      </c>
      <c r="E231" s="38" t="s">
        <v>62</v>
      </c>
      <c r="F231" s="1" t="s">
        <v>28</v>
      </c>
      <c r="G231" s="1" t="s">
        <v>25</v>
      </c>
      <c r="H231" s="3">
        <v>0.3</v>
      </c>
      <c r="I231" s="1">
        <f t="shared" si="45"/>
        <v>0</v>
      </c>
      <c r="J231" s="10">
        <f t="shared" si="46"/>
        <v>0</v>
      </c>
      <c r="K231" s="10">
        <f t="shared" si="47"/>
        <v>0</v>
      </c>
    </row>
    <row r="232" spans="1:11" outlineLevel="1" x14ac:dyDescent="0.3">
      <c r="A232" s="101" t="s">
        <v>238</v>
      </c>
      <c r="B232" s="103" t="s">
        <v>7</v>
      </c>
      <c r="C232" s="1">
        <v>1</v>
      </c>
      <c r="D232" s="38">
        <v>114155</v>
      </c>
      <c r="E232" s="1" t="s">
        <v>20</v>
      </c>
      <c r="F232" s="1" t="s">
        <v>28</v>
      </c>
      <c r="G232" s="1" t="s">
        <v>25</v>
      </c>
      <c r="H232" s="3">
        <v>0.7</v>
      </c>
      <c r="I232" s="1">
        <f t="shared" si="42"/>
        <v>0</v>
      </c>
      <c r="J232" s="10">
        <f t="shared" si="44"/>
        <v>0</v>
      </c>
      <c r="K232" s="10">
        <f t="shared" si="43"/>
        <v>0</v>
      </c>
    </row>
    <row r="233" spans="1:11" ht="42" outlineLevel="1" x14ac:dyDescent="0.3">
      <c r="A233" s="102"/>
      <c r="B233" s="104"/>
      <c r="C233" s="1">
        <v>1</v>
      </c>
      <c r="D233" s="38">
        <v>114155</v>
      </c>
      <c r="E233" s="1" t="s">
        <v>62</v>
      </c>
      <c r="F233" s="1" t="s">
        <v>27</v>
      </c>
      <c r="G233" s="35" t="s">
        <v>81</v>
      </c>
      <c r="H233" s="3">
        <v>0.3</v>
      </c>
      <c r="I233" s="1">
        <f t="shared" si="42"/>
        <v>380516.66666666669</v>
      </c>
      <c r="J233" s="10">
        <f t="shared" si="44"/>
        <v>2.6280057816127193E-6</v>
      </c>
      <c r="K233" s="10">
        <f t="shared" si="43"/>
        <v>2.6280057816127193E-6</v>
      </c>
    </row>
    <row r="234" spans="1:11" ht="28" outlineLevel="1" x14ac:dyDescent="0.3">
      <c r="A234" s="11" t="s">
        <v>235</v>
      </c>
      <c r="B234" s="1" t="s">
        <v>82</v>
      </c>
      <c r="C234" s="1">
        <v>1</v>
      </c>
      <c r="D234" s="1">
        <v>19344.88</v>
      </c>
      <c r="E234" s="1" t="s">
        <v>73</v>
      </c>
      <c r="F234" s="1" t="s">
        <v>27</v>
      </c>
      <c r="G234" s="35" t="s">
        <v>83</v>
      </c>
      <c r="H234" s="3">
        <v>1</v>
      </c>
      <c r="I234" s="1">
        <f t="shared" si="42"/>
        <v>19344.88</v>
      </c>
      <c r="J234" s="10">
        <f t="shared" si="44"/>
        <v>5.1693264574399012E-5</v>
      </c>
      <c r="K234" s="10">
        <f t="shared" si="43"/>
        <v>5.1693264574399012E-5</v>
      </c>
    </row>
    <row r="235" spans="1:11" outlineLevel="1" x14ac:dyDescent="0.3">
      <c r="A235" s="116"/>
      <c r="B235" s="117"/>
      <c r="C235" s="117"/>
      <c r="D235" s="117"/>
      <c r="E235" s="117"/>
      <c r="F235" s="117"/>
      <c r="G235" s="117"/>
      <c r="H235" s="117"/>
      <c r="I235" s="117"/>
      <c r="J235" s="117"/>
      <c r="K235" s="118"/>
    </row>
    <row r="236" spans="1:11" outlineLevel="1" x14ac:dyDescent="0.3">
      <c r="A236" s="101" t="s">
        <v>239</v>
      </c>
      <c r="B236" s="103" t="s">
        <v>9</v>
      </c>
      <c r="C236" s="1">
        <v>1</v>
      </c>
      <c r="D236" s="1">
        <v>114155</v>
      </c>
      <c r="E236" s="1" t="s">
        <v>20</v>
      </c>
      <c r="F236" s="1" t="s">
        <v>27</v>
      </c>
      <c r="G236" s="1" t="s">
        <v>84</v>
      </c>
      <c r="H236" s="3">
        <v>0.5</v>
      </c>
      <c r="I236" s="1">
        <f t="shared" ref="I236:I253" si="48">IF(F236="yes",D236/H236,0)</f>
        <v>228310</v>
      </c>
      <c r="J236" s="10">
        <f t="shared" si="44"/>
        <v>4.3800096360211989E-6</v>
      </c>
      <c r="K236" s="10">
        <f t="shared" ref="K236:K253" si="49">J236*C236</f>
        <v>4.3800096360211989E-6</v>
      </c>
    </row>
    <row r="237" spans="1:11" outlineLevel="1" x14ac:dyDescent="0.3">
      <c r="A237" s="102"/>
      <c r="B237" s="104"/>
      <c r="C237" s="1">
        <v>1</v>
      </c>
      <c r="D237" s="1">
        <v>114155</v>
      </c>
      <c r="E237" s="1" t="s">
        <v>29</v>
      </c>
      <c r="F237" s="1" t="s">
        <v>28</v>
      </c>
      <c r="G237" s="1" t="s">
        <v>25</v>
      </c>
      <c r="H237" s="3">
        <v>0.5</v>
      </c>
      <c r="I237" s="1">
        <f t="shared" si="48"/>
        <v>0</v>
      </c>
      <c r="J237" s="10">
        <f t="shared" si="44"/>
        <v>0</v>
      </c>
      <c r="K237" s="10">
        <f t="shared" si="49"/>
        <v>0</v>
      </c>
    </row>
    <row r="238" spans="1:11" outlineLevel="1" x14ac:dyDescent="0.3">
      <c r="A238" s="101" t="s">
        <v>242</v>
      </c>
      <c r="B238" s="103" t="s">
        <v>8</v>
      </c>
      <c r="C238" s="1">
        <v>1</v>
      </c>
      <c r="D238" s="1">
        <v>22831</v>
      </c>
      <c r="E238" s="1" t="s">
        <v>20</v>
      </c>
      <c r="F238" s="1" t="s">
        <v>28</v>
      </c>
      <c r="G238" s="1" t="s">
        <v>25</v>
      </c>
      <c r="H238" s="3">
        <v>0.5</v>
      </c>
      <c r="I238" s="1">
        <f t="shared" si="48"/>
        <v>0</v>
      </c>
      <c r="J238" s="10">
        <f t="shared" si="44"/>
        <v>0</v>
      </c>
      <c r="K238" s="10">
        <f t="shared" si="49"/>
        <v>0</v>
      </c>
    </row>
    <row r="239" spans="1:11" ht="28" outlineLevel="1" x14ac:dyDescent="0.3">
      <c r="A239" s="102"/>
      <c r="B239" s="104"/>
      <c r="C239" s="1">
        <v>1</v>
      </c>
      <c r="D239" s="1">
        <v>22831</v>
      </c>
      <c r="E239" s="1" t="s">
        <v>29</v>
      </c>
      <c r="F239" s="1" t="s">
        <v>27</v>
      </c>
      <c r="G239" s="35" t="s">
        <v>139</v>
      </c>
      <c r="H239" s="3">
        <v>0.5</v>
      </c>
      <c r="I239" s="1">
        <f t="shared" si="48"/>
        <v>45662</v>
      </c>
      <c r="J239" s="10">
        <f t="shared" si="44"/>
        <v>2.1900048180105996E-5</v>
      </c>
      <c r="K239" s="10">
        <f t="shared" si="49"/>
        <v>2.1900048180105996E-5</v>
      </c>
    </row>
    <row r="240" spans="1:11" outlineLevel="1" x14ac:dyDescent="0.3">
      <c r="A240" s="101" t="s">
        <v>243</v>
      </c>
      <c r="B240" s="103" t="s">
        <v>7</v>
      </c>
      <c r="C240" s="1">
        <v>1</v>
      </c>
      <c r="D240" s="1">
        <v>114155</v>
      </c>
      <c r="E240" s="1" t="s">
        <v>20</v>
      </c>
      <c r="F240" s="1" t="s">
        <v>28</v>
      </c>
      <c r="G240" s="1" t="s">
        <v>25</v>
      </c>
      <c r="H240" s="3">
        <v>0.7</v>
      </c>
      <c r="I240" s="1">
        <f t="shared" si="48"/>
        <v>0</v>
      </c>
      <c r="J240" s="10">
        <f t="shared" si="44"/>
        <v>0</v>
      </c>
      <c r="K240" s="10">
        <f t="shared" si="49"/>
        <v>0</v>
      </c>
    </row>
    <row r="241" spans="1:11" outlineLevel="1" x14ac:dyDescent="0.3">
      <c r="A241" s="102"/>
      <c r="B241" s="104"/>
      <c r="C241" s="1">
        <v>1</v>
      </c>
      <c r="D241" s="1">
        <v>114155</v>
      </c>
      <c r="E241" s="1" t="s">
        <v>62</v>
      </c>
      <c r="F241" s="1" t="s">
        <v>28</v>
      </c>
      <c r="G241" s="1" t="s">
        <v>25</v>
      </c>
      <c r="H241" s="3">
        <v>0.3</v>
      </c>
      <c r="I241" s="1">
        <f t="shared" si="48"/>
        <v>0</v>
      </c>
      <c r="J241" s="10">
        <f t="shared" si="44"/>
        <v>0</v>
      </c>
      <c r="K241" s="10">
        <f t="shared" si="49"/>
        <v>0</v>
      </c>
    </row>
    <row r="242" spans="1:11" ht="28" outlineLevel="1" x14ac:dyDescent="0.3">
      <c r="A242" s="101" t="s">
        <v>244</v>
      </c>
      <c r="B242" s="103" t="s">
        <v>37</v>
      </c>
      <c r="C242" s="1">
        <v>1</v>
      </c>
      <c r="D242" s="1">
        <v>1903</v>
      </c>
      <c r="E242" s="1" t="s">
        <v>38</v>
      </c>
      <c r="F242" s="1" t="s">
        <v>27</v>
      </c>
      <c r="G242" s="35" t="s">
        <v>133</v>
      </c>
      <c r="H242" s="36">
        <v>0.16700000000000001</v>
      </c>
      <c r="I242" s="1">
        <f t="shared" si="48"/>
        <v>11395.209580838322</v>
      </c>
      <c r="J242" s="10">
        <f t="shared" si="44"/>
        <v>8.7756174461376787E-5</v>
      </c>
      <c r="K242" s="10">
        <f t="shared" si="49"/>
        <v>8.7756174461376787E-5</v>
      </c>
    </row>
    <row r="243" spans="1:11" ht="28" outlineLevel="1" x14ac:dyDescent="0.3">
      <c r="A243" s="102"/>
      <c r="B243" s="114"/>
      <c r="C243" s="1">
        <v>1</v>
      </c>
      <c r="D243" s="1">
        <v>1903</v>
      </c>
      <c r="E243" s="1" t="s">
        <v>39</v>
      </c>
      <c r="F243" s="1" t="s">
        <v>27</v>
      </c>
      <c r="G243" s="35" t="s">
        <v>134</v>
      </c>
      <c r="H243" s="36">
        <v>0.16700000000000001</v>
      </c>
      <c r="I243" s="1">
        <f t="shared" si="48"/>
        <v>11395.209580838322</v>
      </c>
      <c r="J243" s="10">
        <f t="shared" si="44"/>
        <v>8.7756174461376787E-5</v>
      </c>
      <c r="K243" s="10">
        <f t="shared" si="49"/>
        <v>8.7756174461376787E-5</v>
      </c>
    </row>
    <row r="244" spans="1:11" ht="28" outlineLevel="1" x14ac:dyDescent="0.3">
      <c r="A244" s="101" t="s">
        <v>240</v>
      </c>
      <c r="B244" s="114"/>
      <c r="C244" s="1">
        <v>1</v>
      </c>
      <c r="D244" s="1">
        <v>1903</v>
      </c>
      <c r="E244" s="1" t="s">
        <v>40</v>
      </c>
      <c r="F244" s="1" t="s">
        <v>27</v>
      </c>
      <c r="G244" s="35" t="s">
        <v>134</v>
      </c>
      <c r="H244" s="36">
        <v>0.16700000000000001</v>
      </c>
      <c r="I244" s="1">
        <f t="shared" si="48"/>
        <v>11395.209580838322</v>
      </c>
      <c r="J244" s="10">
        <f t="shared" si="44"/>
        <v>8.7756174461376787E-5</v>
      </c>
      <c r="K244" s="10">
        <f t="shared" si="49"/>
        <v>8.7756174461376787E-5</v>
      </c>
    </row>
    <row r="245" spans="1:11" ht="28" outlineLevel="1" x14ac:dyDescent="0.3">
      <c r="A245" s="115"/>
      <c r="B245" s="114"/>
      <c r="C245" s="1">
        <v>1</v>
      </c>
      <c r="D245" s="1">
        <v>1903</v>
      </c>
      <c r="E245" s="1" t="s">
        <v>41</v>
      </c>
      <c r="F245" s="1" t="s">
        <v>28</v>
      </c>
      <c r="G245" s="35" t="s">
        <v>87</v>
      </c>
      <c r="H245" s="36">
        <v>0.16700000000000001</v>
      </c>
      <c r="I245" s="1">
        <f t="shared" si="48"/>
        <v>0</v>
      </c>
      <c r="J245" s="10">
        <f t="shared" si="44"/>
        <v>0</v>
      </c>
      <c r="K245" s="10">
        <f t="shared" si="49"/>
        <v>0</v>
      </c>
    </row>
    <row r="246" spans="1:11" ht="28" outlineLevel="1" x14ac:dyDescent="0.3">
      <c r="A246" s="115"/>
      <c r="B246" s="114"/>
      <c r="C246" s="1">
        <v>1</v>
      </c>
      <c r="D246" s="1">
        <v>1903</v>
      </c>
      <c r="E246" s="1" t="s">
        <v>42</v>
      </c>
      <c r="F246" s="1" t="s">
        <v>27</v>
      </c>
      <c r="G246" s="35" t="s">
        <v>134</v>
      </c>
      <c r="H246" s="36">
        <v>0.16700000000000001</v>
      </c>
      <c r="I246" s="1">
        <f t="shared" si="48"/>
        <v>11395.209580838322</v>
      </c>
      <c r="J246" s="10">
        <f t="shared" si="44"/>
        <v>8.7756174461376787E-5</v>
      </c>
      <c r="K246" s="10">
        <f t="shared" si="49"/>
        <v>8.7756174461376787E-5</v>
      </c>
    </row>
    <row r="247" spans="1:11" ht="28" outlineLevel="1" x14ac:dyDescent="0.3">
      <c r="A247" s="115"/>
      <c r="B247" s="104"/>
      <c r="C247" s="1">
        <v>1</v>
      </c>
      <c r="D247" s="1">
        <v>1903</v>
      </c>
      <c r="E247" s="1" t="s">
        <v>43</v>
      </c>
      <c r="F247" s="1" t="s">
        <v>27</v>
      </c>
      <c r="G247" s="35" t="s">
        <v>134</v>
      </c>
      <c r="H247" s="36">
        <v>0.16700000000000001</v>
      </c>
      <c r="I247" s="1">
        <f t="shared" si="48"/>
        <v>11395.209580838322</v>
      </c>
      <c r="J247" s="10">
        <f t="shared" si="44"/>
        <v>8.7756174461376787E-5</v>
      </c>
      <c r="K247" s="10">
        <f t="shared" si="49"/>
        <v>8.7756174461376787E-5</v>
      </c>
    </row>
    <row r="248" spans="1:11" outlineLevel="1" x14ac:dyDescent="0.3">
      <c r="A248" s="115"/>
      <c r="B248" s="103" t="s">
        <v>49</v>
      </c>
      <c r="C248" s="1">
        <v>1</v>
      </c>
      <c r="D248" s="1">
        <v>114155</v>
      </c>
      <c r="E248" s="1" t="s">
        <v>20</v>
      </c>
      <c r="F248" s="1" t="s">
        <v>28</v>
      </c>
      <c r="G248" s="1" t="s">
        <v>25</v>
      </c>
      <c r="H248" s="3">
        <v>0.5</v>
      </c>
      <c r="I248" s="1">
        <f t="shared" si="48"/>
        <v>0</v>
      </c>
      <c r="J248" s="10">
        <f t="shared" si="44"/>
        <v>0</v>
      </c>
      <c r="K248" s="10">
        <f t="shared" si="49"/>
        <v>0</v>
      </c>
    </row>
    <row r="249" spans="1:11" ht="28" outlineLevel="1" x14ac:dyDescent="0.3">
      <c r="A249" s="102"/>
      <c r="B249" s="104"/>
      <c r="C249" s="1">
        <v>1</v>
      </c>
      <c r="D249" s="1">
        <v>114155</v>
      </c>
      <c r="E249" s="1" t="s">
        <v>29</v>
      </c>
      <c r="F249" s="1" t="s">
        <v>27</v>
      </c>
      <c r="G249" s="35" t="s">
        <v>140</v>
      </c>
      <c r="H249" s="3">
        <v>0.5</v>
      </c>
      <c r="I249" s="1">
        <f t="shared" si="48"/>
        <v>228310</v>
      </c>
      <c r="J249" s="10">
        <f t="shared" si="44"/>
        <v>4.3800096360211989E-6</v>
      </c>
      <c r="K249" s="10">
        <f t="shared" si="49"/>
        <v>4.3800096360211989E-6</v>
      </c>
    </row>
    <row r="250" spans="1:11" outlineLevel="1" x14ac:dyDescent="0.3">
      <c r="A250" s="101" t="s">
        <v>241</v>
      </c>
      <c r="B250" s="103" t="s">
        <v>9</v>
      </c>
      <c r="C250" s="1">
        <v>1</v>
      </c>
      <c r="D250" s="1">
        <v>114155</v>
      </c>
      <c r="E250" s="1" t="s">
        <v>20</v>
      </c>
      <c r="F250" s="1" t="s">
        <v>28</v>
      </c>
      <c r="G250" s="1" t="s">
        <v>25</v>
      </c>
      <c r="H250" s="3">
        <v>0.5</v>
      </c>
      <c r="I250" s="1">
        <f t="shared" si="48"/>
        <v>0</v>
      </c>
      <c r="J250" s="10">
        <f t="shared" si="44"/>
        <v>0</v>
      </c>
      <c r="K250" s="10">
        <f t="shared" si="49"/>
        <v>0</v>
      </c>
    </row>
    <row r="251" spans="1:11" ht="28" outlineLevel="1" x14ac:dyDescent="0.3">
      <c r="A251" s="102"/>
      <c r="B251" s="104"/>
      <c r="C251" s="1">
        <v>1</v>
      </c>
      <c r="D251" s="1">
        <v>114155</v>
      </c>
      <c r="E251" s="1" t="s">
        <v>29</v>
      </c>
      <c r="F251" s="1" t="s">
        <v>27</v>
      </c>
      <c r="G251" s="35" t="s">
        <v>84</v>
      </c>
      <c r="H251" s="3">
        <v>0.5</v>
      </c>
      <c r="I251" s="1">
        <f t="shared" si="48"/>
        <v>228310</v>
      </c>
      <c r="J251" s="10">
        <f t="shared" si="44"/>
        <v>4.3800096360211989E-6</v>
      </c>
      <c r="K251" s="10">
        <f t="shared" si="49"/>
        <v>4.3800096360211989E-6</v>
      </c>
    </row>
    <row r="252" spans="1:11" outlineLevel="1" x14ac:dyDescent="0.3">
      <c r="A252" s="101" t="s">
        <v>131</v>
      </c>
      <c r="B252" s="103" t="s">
        <v>89</v>
      </c>
      <c r="C252" s="1">
        <v>1</v>
      </c>
      <c r="D252" s="1">
        <v>978080</v>
      </c>
      <c r="E252" s="1" t="s">
        <v>29</v>
      </c>
      <c r="F252" s="1" t="s">
        <v>27</v>
      </c>
      <c r="G252" s="1" t="s">
        <v>90</v>
      </c>
      <c r="H252" s="3">
        <v>0.5</v>
      </c>
      <c r="I252" s="1">
        <f t="shared" si="48"/>
        <v>1956160</v>
      </c>
      <c r="J252" s="10">
        <f t="shared" si="44"/>
        <v>5.1120562735154583E-7</v>
      </c>
      <c r="K252" s="10">
        <f t="shared" si="49"/>
        <v>5.1120562735154583E-7</v>
      </c>
    </row>
    <row r="253" spans="1:11" outlineLevel="1" x14ac:dyDescent="0.3">
      <c r="A253" s="102"/>
      <c r="B253" s="104"/>
      <c r="C253" s="1">
        <v>1</v>
      </c>
      <c r="D253" s="1">
        <v>978080</v>
      </c>
      <c r="E253" s="1" t="s">
        <v>20</v>
      </c>
      <c r="F253" s="1" t="s">
        <v>28</v>
      </c>
      <c r="G253" s="1" t="s">
        <v>91</v>
      </c>
      <c r="H253" s="3">
        <v>0.5</v>
      </c>
      <c r="I253" s="1">
        <f t="shared" si="48"/>
        <v>0</v>
      </c>
      <c r="J253" s="10">
        <f t="shared" si="44"/>
        <v>0</v>
      </c>
      <c r="K253" s="10">
        <f t="shared" si="49"/>
        <v>0</v>
      </c>
    </row>
    <row r="254" spans="1:11" outlineLevel="1" x14ac:dyDescent="0.3">
      <c r="A254" s="11"/>
      <c r="B254" s="1"/>
      <c r="C254" s="1"/>
      <c r="D254" s="1"/>
      <c r="E254" s="1"/>
      <c r="F254" s="1"/>
      <c r="G254" s="1"/>
      <c r="H254" s="3"/>
      <c r="I254" s="3"/>
      <c r="J254" s="3"/>
      <c r="K254" s="12">
        <f>1/SUM(K123:K253)</f>
        <v>16.364400501441498</v>
      </c>
    </row>
    <row r="258" spans="2:4" x14ac:dyDescent="0.3">
      <c r="B258" s="2" t="s">
        <v>0</v>
      </c>
      <c r="C258" s="23">
        <f>1/((1/K14)+(1/K58)+(1/K120))</f>
        <v>703.9536646728144</v>
      </c>
      <c r="D258" s="2">
        <f>IF(C258&gt;100,100,C258)</f>
        <v>100</v>
      </c>
    </row>
    <row r="259" spans="2:4" x14ac:dyDescent="0.3">
      <c r="B259" s="2" t="s">
        <v>17</v>
      </c>
      <c r="C259" s="2">
        <f>K254</f>
        <v>16.364400501441498</v>
      </c>
      <c r="D259" s="2">
        <f>IF(C259&gt;100,100,C259)</f>
        <v>16.364400501441498</v>
      </c>
    </row>
    <row r="260" spans="2:4" x14ac:dyDescent="0.3">
      <c r="B260" s="2" t="s">
        <v>18</v>
      </c>
      <c r="C260" s="2">
        <f>2*(D258+D259-1/(1/D258+1/D259))/3</f>
        <v>68.200890779984221</v>
      </c>
      <c r="D260" s="2"/>
    </row>
    <row r="261" spans="2:4" x14ac:dyDescent="0.3">
      <c r="B261" t="s">
        <v>96</v>
      </c>
      <c r="C261">
        <f>(N14+N58+N120)/(L14+L58+L120)</f>
        <v>0.80492550200003843</v>
      </c>
    </row>
  </sheetData>
  <mergeCells count="191"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15:K15"/>
    <mergeCell ref="A1:K1"/>
    <mergeCell ref="A2:K2"/>
    <mergeCell ref="A4:A5"/>
    <mergeCell ref="B4:B5"/>
    <mergeCell ref="A8:A9"/>
    <mergeCell ref="B8:B9"/>
    <mergeCell ref="A12:A13"/>
    <mergeCell ref="B12:B13"/>
    <mergeCell ref="A6:A7"/>
    <mergeCell ref="B6:B7"/>
    <mergeCell ref="A10:A11"/>
    <mergeCell ref="B32:B33"/>
    <mergeCell ref="A34:A35"/>
    <mergeCell ref="B34:B35"/>
    <mergeCell ref="A36:A37"/>
    <mergeCell ref="B36:B37"/>
    <mergeCell ref="A28:A29"/>
    <mergeCell ref="A59:K59"/>
    <mergeCell ref="A52:A53"/>
    <mergeCell ref="B52:B53"/>
    <mergeCell ref="A252:A253"/>
    <mergeCell ref="B252:B253"/>
    <mergeCell ref="A238:A239"/>
    <mergeCell ref="B238:B239"/>
    <mergeCell ref="A240:A241"/>
    <mergeCell ref="B240:B241"/>
    <mergeCell ref="B242:B247"/>
    <mergeCell ref="A232:A233"/>
    <mergeCell ref="B232:B233"/>
    <mergeCell ref="A235:K235"/>
    <mergeCell ref="A236:A237"/>
    <mergeCell ref="B236:B237"/>
    <mergeCell ref="B248:B249"/>
    <mergeCell ref="A250:A251"/>
    <mergeCell ref="B250:B251"/>
    <mergeCell ref="A242:A243"/>
    <mergeCell ref="A244:A249"/>
    <mergeCell ref="A156:A157"/>
    <mergeCell ref="B156:B157"/>
    <mergeCell ref="A158:A159"/>
    <mergeCell ref="B158:B159"/>
    <mergeCell ref="B172:B173"/>
    <mergeCell ref="A172:A173"/>
    <mergeCell ref="A164:A165"/>
    <mergeCell ref="B164:B165"/>
    <mergeCell ref="A166:A171"/>
    <mergeCell ref="B166:B171"/>
    <mergeCell ref="A127:A128"/>
    <mergeCell ref="B127:B128"/>
    <mergeCell ref="A151:A152"/>
    <mergeCell ref="B151:B152"/>
    <mergeCell ref="A113:A114"/>
    <mergeCell ref="B113:B114"/>
    <mergeCell ref="A118:A119"/>
    <mergeCell ref="B118:B119"/>
    <mergeCell ref="A121:K121"/>
    <mergeCell ref="A125:A126"/>
    <mergeCell ref="B125:B126"/>
    <mergeCell ref="A143:A148"/>
    <mergeCell ref="B143:B148"/>
    <mergeCell ref="B141:B142"/>
    <mergeCell ref="A230:A231"/>
    <mergeCell ref="B230:B231"/>
    <mergeCell ref="A191:A192"/>
    <mergeCell ref="B191:B192"/>
    <mergeCell ref="A193:A194"/>
    <mergeCell ref="B193:B194"/>
    <mergeCell ref="A195:A196"/>
    <mergeCell ref="B195:B196"/>
    <mergeCell ref="A199:A200"/>
    <mergeCell ref="B199:B200"/>
    <mergeCell ref="A201:A202"/>
    <mergeCell ref="B201:B202"/>
    <mergeCell ref="A209:A210"/>
    <mergeCell ref="B209:B210"/>
    <mergeCell ref="A211:A212"/>
    <mergeCell ref="B211:B212"/>
    <mergeCell ref="A222:A223"/>
    <mergeCell ref="B222:B223"/>
    <mergeCell ref="A224:A225"/>
    <mergeCell ref="B224:B225"/>
    <mergeCell ref="A226:A227"/>
    <mergeCell ref="B226:B227"/>
    <mergeCell ref="B220:B221"/>
    <mergeCell ref="A215:A216"/>
    <mergeCell ref="A228:A229"/>
    <mergeCell ref="B228:B229"/>
    <mergeCell ref="A178:A179"/>
    <mergeCell ref="B178:B179"/>
    <mergeCell ref="A182:A183"/>
    <mergeCell ref="B182:B183"/>
    <mergeCell ref="B215:B216"/>
    <mergeCell ref="A213:K213"/>
    <mergeCell ref="A203:A204"/>
    <mergeCell ref="B203:B204"/>
    <mergeCell ref="A207:A208"/>
    <mergeCell ref="B207:B208"/>
    <mergeCell ref="A184:A185"/>
    <mergeCell ref="B184:B185"/>
    <mergeCell ref="A186:A187"/>
    <mergeCell ref="B186:B187"/>
    <mergeCell ref="A197:A198"/>
    <mergeCell ref="B197:B198"/>
    <mergeCell ref="A189:A190"/>
    <mergeCell ref="B189:B190"/>
    <mergeCell ref="A217:A218"/>
    <mergeCell ref="B217:B218"/>
    <mergeCell ref="A220:A221"/>
    <mergeCell ref="A174:A175"/>
    <mergeCell ref="B174:B175"/>
    <mergeCell ref="A176:A177"/>
    <mergeCell ref="B176:B177"/>
    <mergeCell ref="B10:B11"/>
    <mergeCell ref="A162:A163"/>
    <mergeCell ref="B162:B163"/>
    <mergeCell ref="A160:A161"/>
    <mergeCell ref="B160:B161"/>
    <mergeCell ref="B28:B29"/>
    <mergeCell ref="A30:A31"/>
    <mergeCell ref="B30:B31"/>
    <mergeCell ref="A32:A33"/>
    <mergeCell ref="A149:A150"/>
    <mergeCell ref="B149:B150"/>
    <mergeCell ref="A129:A130"/>
    <mergeCell ref="B129:B130"/>
    <mergeCell ref="A131:A132"/>
    <mergeCell ref="B131:B132"/>
    <mergeCell ref="A133:A134"/>
    <mergeCell ref="B133:B134"/>
    <mergeCell ref="A135:A140"/>
    <mergeCell ref="B135:B140"/>
    <mergeCell ref="A141:A142"/>
    <mergeCell ref="A153:A154"/>
    <mergeCell ref="B153:B154"/>
    <mergeCell ref="A38:A39"/>
    <mergeCell ref="B38:B39"/>
    <mergeCell ref="A40:A45"/>
    <mergeCell ref="B40:B45"/>
    <mergeCell ref="A46:A51"/>
    <mergeCell ref="B46:B51"/>
    <mergeCell ref="A54:A55"/>
    <mergeCell ref="B54:B55"/>
    <mergeCell ref="A56:A57"/>
    <mergeCell ref="B56:B57"/>
    <mergeCell ref="A93:A98"/>
    <mergeCell ref="B93:B98"/>
    <mergeCell ref="A99:A104"/>
    <mergeCell ref="B99:B104"/>
    <mergeCell ref="A61:A62"/>
    <mergeCell ref="B61:B62"/>
    <mergeCell ref="A63:A68"/>
    <mergeCell ref="B63:B68"/>
    <mergeCell ref="A69:A74"/>
    <mergeCell ref="B69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123:A124"/>
    <mergeCell ref="B123:B124"/>
    <mergeCell ref="A116:A117"/>
    <mergeCell ref="B116:B117"/>
    <mergeCell ref="A105:A106"/>
    <mergeCell ref="B105:B106"/>
    <mergeCell ref="A107:A108"/>
    <mergeCell ref="B107:B108"/>
    <mergeCell ref="A109:A110"/>
    <mergeCell ref="B109:B110"/>
    <mergeCell ref="A111:A112"/>
    <mergeCell ref="A85:A90"/>
    <mergeCell ref="B85:B90"/>
    <mergeCell ref="A91:A92"/>
    <mergeCell ref="B91:B92"/>
    <mergeCell ref="B111:B1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N240"/>
  <sheetViews>
    <sheetView showGridLines="0" tabSelected="1" topLeftCell="A213" zoomScaleNormal="100" workbookViewId="0">
      <selection activeCell="C238" sqref="C238"/>
    </sheetView>
  </sheetViews>
  <sheetFormatPr defaultRowHeight="14" outlineLevelRow="2" x14ac:dyDescent="0.3"/>
  <cols>
    <col min="1" max="1" width="41.58203125" customWidth="1"/>
    <col min="2" max="2" width="17.25" customWidth="1"/>
    <col min="3" max="3" width="20.33203125" customWidth="1"/>
    <col min="4" max="7" width="22.75" customWidth="1"/>
    <col min="8" max="10" width="26.75" customWidth="1"/>
    <col min="11" max="11" width="29.08203125" customWidth="1"/>
  </cols>
  <sheetData>
    <row r="1" spans="1:14" ht="17.5" x14ac:dyDescent="0.3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4" ht="17.5" outlineLevel="1" x14ac:dyDescent="0.35">
      <c r="A2" s="127" t="s">
        <v>1</v>
      </c>
      <c r="B2" s="128"/>
      <c r="C2" s="128"/>
      <c r="D2" s="128"/>
      <c r="E2" s="128"/>
      <c r="F2" s="128"/>
      <c r="G2" s="128"/>
      <c r="H2" s="128"/>
      <c r="I2" s="128"/>
      <c r="J2" s="128"/>
      <c r="K2" s="129"/>
    </row>
    <row r="3" spans="1:14" outlineLevel="2" x14ac:dyDescent="0.3">
      <c r="A3" s="31" t="s">
        <v>13</v>
      </c>
      <c r="B3" s="32" t="s">
        <v>4</v>
      </c>
      <c r="C3" s="32" t="s">
        <v>5</v>
      </c>
      <c r="D3" s="32" t="s">
        <v>12</v>
      </c>
      <c r="E3" s="32" t="s">
        <v>19</v>
      </c>
      <c r="F3" s="32" t="s">
        <v>26</v>
      </c>
      <c r="G3" s="32" t="s">
        <v>21</v>
      </c>
      <c r="H3" s="32" t="s">
        <v>6</v>
      </c>
      <c r="I3" s="32" t="s">
        <v>14</v>
      </c>
      <c r="J3" s="32" t="s">
        <v>15</v>
      </c>
      <c r="K3" s="33" t="s">
        <v>16</v>
      </c>
    </row>
    <row r="4" spans="1:14" ht="28" outlineLevel="2" x14ac:dyDescent="0.3">
      <c r="A4" s="121" t="s">
        <v>276</v>
      </c>
      <c r="B4" s="123" t="s">
        <v>92</v>
      </c>
      <c r="C4" s="27">
        <v>2</v>
      </c>
      <c r="D4" s="79">
        <v>13698.63</v>
      </c>
      <c r="E4" s="4" t="s">
        <v>147</v>
      </c>
      <c r="F4" s="4" t="s">
        <v>146</v>
      </c>
      <c r="G4" s="26" t="s">
        <v>93</v>
      </c>
      <c r="H4" s="5">
        <v>0.7</v>
      </c>
      <c r="I4" s="4">
        <f>IF(F4="yes",D4/H4,0)</f>
        <v>19569.471428571429</v>
      </c>
      <c r="J4" s="6">
        <f>IF(I4= 0,0,1/I4)</f>
        <v>5.1100000511000004E-5</v>
      </c>
      <c r="K4" s="15">
        <f>J4*C4</f>
        <v>1.0220000102200001E-4</v>
      </c>
    </row>
    <row r="5" spans="1:14" ht="28" outlineLevel="2" x14ac:dyDescent="0.3">
      <c r="A5" s="122"/>
      <c r="B5" s="124"/>
      <c r="C5" s="27">
        <v>2</v>
      </c>
      <c r="D5" s="78">
        <v>13698.63</v>
      </c>
      <c r="E5" s="4" t="s">
        <v>24</v>
      </c>
      <c r="F5" s="4" t="s">
        <v>27</v>
      </c>
      <c r="G5" s="26" t="s">
        <v>277</v>
      </c>
      <c r="H5" s="5">
        <v>0.3</v>
      </c>
      <c r="I5" s="4">
        <f>IF(F5="yes",D5/H5,0)</f>
        <v>45662.1</v>
      </c>
      <c r="J5" s="6">
        <f>IF(I5= 0,0,1/I5)</f>
        <v>2.1900000219000003E-5</v>
      </c>
      <c r="K5" s="15">
        <f>J5*C5</f>
        <v>4.3800000438000006E-5</v>
      </c>
    </row>
    <row r="6" spans="1:14" outlineLevel="2" x14ac:dyDescent="0.3">
      <c r="A6" s="121" t="s">
        <v>278</v>
      </c>
      <c r="B6" s="123" t="s">
        <v>8</v>
      </c>
      <c r="C6" s="4">
        <v>1</v>
      </c>
      <c r="D6" s="28">
        <v>22831</v>
      </c>
      <c r="E6" s="4" t="s">
        <v>30</v>
      </c>
      <c r="F6" s="4" t="s">
        <v>28</v>
      </c>
      <c r="G6" s="26" t="s">
        <v>25</v>
      </c>
      <c r="H6" s="5">
        <v>0.5</v>
      </c>
      <c r="I6" s="4">
        <f>IF(F6="yes",D6/H6,0)</f>
        <v>0</v>
      </c>
      <c r="J6" s="6">
        <f>IF(I6= 0,0,1/I6)</f>
        <v>0</v>
      </c>
      <c r="K6" s="15">
        <f>J6*C6</f>
        <v>0</v>
      </c>
    </row>
    <row r="7" spans="1:14" ht="28" outlineLevel="2" x14ac:dyDescent="0.3">
      <c r="A7" s="122"/>
      <c r="B7" s="124"/>
      <c r="C7" s="29">
        <v>1</v>
      </c>
      <c r="D7" s="28">
        <v>22831</v>
      </c>
      <c r="E7" s="4" t="s">
        <v>29</v>
      </c>
      <c r="F7" s="4" t="s">
        <v>27</v>
      </c>
      <c r="G7" s="26" t="s">
        <v>277</v>
      </c>
      <c r="H7" s="5">
        <v>0.5</v>
      </c>
      <c r="I7" s="4">
        <f>IF(F7="yes",D7/H7,0)</f>
        <v>45662</v>
      </c>
      <c r="J7" s="6">
        <f>IF(I7= 0,0,1/I7)</f>
        <v>2.1900048180105996E-5</v>
      </c>
      <c r="K7" s="15">
        <f>J7*C7</f>
        <v>2.1900048180105996E-5</v>
      </c>
    </row>
    <row r="8" spans="1:14" outlineLevel="2" x14ac:dyDescent="0.3">
      <c r="A8" s="13"/>
      <c r="B8" s="4"/>
      <c r="C8" s="4"/>
      <c r="D8" s="4"/>
      <c r="E8" s="4"/>
      <c r="F8" s="4"/>
      <c r="G8" s="4"/>
      <c r="H8" s="4"/>
      <c r="I8" s="4"/>
      <c r="J8" s="6"/>
      <c r="K8" s="22">
        <f>1/SUM(K4:K7)</f>
        <v>5955.9243856300309</v>
      </c>
      <c r="L8">
        <f>1/K8</f>
        <v>1.6790004964010601E-4</v>
      </c>
      <c r="M8">
        <v>0.9</v>
      </c>
      <c r="N8">
        <f>L8*M8</f>
        <v>1.5111004467609541E-4</v>
      </c>
    </row>
    <row r="9" spans="1:14" ht="17.5" outlineLevel="1" x14ac:dyDescent="0.35">
      <c r="A9" s="127" t="s">
        <v>2</v>
      </c>
      <c r="B9" s="128"/>
      <c r="C9" s="128"/>
      <c r="D9" s="128"/>
      <c r="E9" s="128"/>
      <c r="F9" s="128"/>
      <c r="G9" s="128"/>
      <c r="H9" s="128"/>
      <c r="I9" s="128"/>
      <c r="J9" s="128"/>
      <c r="K9" s="129"/>
    </row>
    <row r="10" spans="1:14" outlineLevel="2" x14ac:dyDescent="0.3">
      <c r="A10" s="31" t="s">
        <v>13</v>
      </c>
      <c r="B10" s="32" t="s">
        <v>4</v>
      </c>
      <c r="C10" s="32" t="s">
        <v>5</v>
      </c>
      <c r="D10" s="32" t="s">
        <v>12</v>
      </c>
      <c r="E10" s="32" t="s">
        <v>19</v>
      </c>
      <c r="F10" s="32" t="s">
        <v>26</v>
      </c>
      <c r="G10" s="32" t="s">
        <v>21</v>
      </c>
      <c r="H10" s="32" t="s">
        <v>6</v>
      </c>
      <c r="I10" s="32" t="s">
        <v>14</v>
      </c>
      <c r="J10" s="32" t="s">
        <v>15</v>
      </c>
      <c r="K10" s="33" t="s">
        <v>16</v>
      </c>
    </row>
    <row r="11" spans="1:14" outlineLevel="2" x14ac:dyDescent="0.3">
      <c r="A11" s="24" t="s">
        <v>152</v>
      </c>
      <c r="B11" s="25" t="s">
        <v>32</v>
      </c>
      <c r="C11" s="29">
        <v>1</v>
      </c>
      <c r="D11" s="68">
        <v>8710000000</v>
      </c>
      <c r="E11" s="4"/>
      <c r="F11" s="4" t="s">
        <v>27</v>
      </c>
      <c r="G11" s="26" t="s">
        <v>33</v>
      </c>
      <c r="H11" s="5">
        <v>1</v>
      </c>
      <c r="I11" s="4">
        <f>IF(F11="yes",D11/H11,0)</f>
        <v>8710000000</v>
      </c>
      <c r="J11" s="6">
        <f t="shared" ref="J11:J51" si="0">IF(I11= 0,0,1/I11)</f>
        <v>1.148105625717566E-10</v>
      </c>
      <c r="K11" s="15">
        <f t="shared" ref="K11:K51" si="1">J11*C11</f>
        <v>1.148105625717566E-10</v>
      </c>
    </row>
    <row r="12" spans="1:14" ht="28" outlineLevel="2" x14ac:dyDescent="0.3">
      <c r="A12" s="121" t="s">
        <v>154</v>
      </c>
      <c r="B12" s="123" t="s">
        <v>9</v>
      </c>
      <c r="C12" s="29">
        <v>2</v>
      </c>
      <c r="D12" s="4">
        <v>114155</v>
      </c>
      <c r="E12" s="4" t="s">
        <v>178</v>
      </c>
      <c r="F12" s="4" t="s">
        <v>27</v>
      </c>
      <c r="G12" s="26" t="s">
        <v>34</v>
      </c>
      <c r="H12" s="5">
        <v>0.5</v>
      </c>
      <c r="I12" s="4">
        <f t="shared" ref="I12:I51" si="2">IF(F12="yes",D12/H12,0)</f>
        <v>228310</v>
      </c>
      <c r="J12" s="6">
        <f t="shared" si="0"/>
        <v>4.3800096360211989E-6</v>
      </c>
      <c r="K12" s="15">
        <f t="shared" si="1"/>
        <v>8.7600192720423978E-6</v>
      </c>
    </row>
    <row r="13" spans="1:14" outlineLevel="2" x14ac:dyDescent="0.3">
      <c r="A13" s="122"/>
      <c r="B13" s="124"/>
      <c r="C13" s="29">
        <v>2</v>
      </c>
      <c r="D13" s="4">
        <v>114155</v>
      </c>
      <c r="E13" s="4" t="s">
        <v>29</v>
      </c>
      <c r="F13" s="4" t="s">
        <v>28</v>
      </c>
      <c r="G13" s="26" t="s">
        <v>25</v>
      </c>
      <c r="H13" s="5">
        <v>0.5</v>
      </c>
      <c r="I13" s="4">
        <f t="shared" si="2"/>
        <v>0</v>
      </c>
      <c r="J13" s="6">
        <f t="shared" si="0"/>
        <v>0</v>
      </c>
      <c r="K13" s="15">
        <f t="shared" si="1"/>
        <v>0</v>
      </c>
    </row>
    <row r="14" spans="1:14" outlineLevel="2" x14ac:dyDescent="0.3">
      <c r="A14" s="121" t="s">
        <v>155</v>
      </c>
      <c r="B14" s="123" t="s">
        <v>191</v>
      </c>
      <c r="C14" s="29">
        <v>2</v>
      </c>
      <c r="D14" s="4">
        <v>16308</v>
      </c>
      <c r="E14" s="4" t="s">
        <v>30</v>
      </c>
      <c r="F14" s="4" t="s">
        <v>157</v>
      </c>
      <c r="G14" s="26" t="s">
        <v>183</v>
      </c>
      <c r="H14" s="5">
        <v>0.5</v>
      </c>
      <c r="I14" s="4">
        <f t="shared" si="2"/>
        <v>0</v>
      </c>
      <c r="J14" s="6">
        <f t="shared" si="0"/>
        <v>0</v>
      </c>
      <c r="K14" s="15">
        <f t="shared" si="1"/>
        <v>0</v>
      </c>
    </row>
    <row r="15" spans="1:14" ht="28" outlineLevel="2" x14ac:dyDescent="0.3">
      <c r="A15" s="122"/>
      <c r="B15" s="124"/>
      <c r="C15" s="29">
        <v>2</v>
      </c>
      <c r="D15" s="4">
        <v>16308</v>
      </c>
      <c r="E15" s="4" t="s">
        <v>29</v>
      </c>
      <c r="F15" s="4" t="s">
        <v>156</v>
      </c>
      <c r="G15" s="26" t="s">
        <v>182</v>
      </c>
      <c r="H15" s="5">
        <v>0.5</v>
      </c>
      <c r="I15" s="4">
        <f t="shared" si="2"/>
        <v>32616</v>
      </c>
      <c r="J15" s="6">
        <f t="shared" si="0"/>
        <v>3.0659798871719399E-5</v>
      </c>
      <c r="K15" s="15">
        <f t="shared" si="1"/>
        <v>6.1319597743438798E-5</v>
      </c>
    </row>
    <row r="16" spans="1:14" ht="28" outlineLevel="2" x14ac:dyDescent="0.3">
      <c r="A16" s="121" t="s">
        <v>153</v>
      </c>
      <c r="B16" s="123" t="s">
        <v>7</v>
      </c>
      <c r="C16" s="29">
        <v>1</v>
      </c>
      <c r="D16" s="27">
        <v>114155</v>
      </c>
      <c r="E16" s="4" t="s">
        <v>30</v>
      </c>
      <c r="F16" s="4" t="s">
        <v>27</v>
      </c>
      <c r="G16" s="26" t="s">
        <v>35</v>
      </c>
      <c r="H16" s="5">
        <v>0.7</v>
      </c>
      <c r="I16" s="4">
        <f t="shared" si="2"/>
        <v>163078.57142857145</v>
      </c>
      <c r="J16" s="6">
        <f t="shared" si="0"/>
        <v>6.1320134904296781E-6</v>
      </c>
      <c r="K16" s="15">
        <f t="shared" si="1"/>
        <v>6.1320134904296781E-6</v>
      </c>
    </row>
    <row r="17" spans="1:11" outlineLevel="2" x14ac:dyDescent="0.3">
      <c r="A17" s="122"/>
      <c r="B17" s="124"/>
      <c r="C17" s="29">
        <v>1</v>
      </c>
      <c r="D17" s="27">
        <v>114155</v>
      </c>
      <c r="E17" s="4" t="s">
        <v>24</v>
      </c>
      <c r="F17" s="4" t="s">
        <v>28</v>
      </c>
      <c r="G17" s="26" t="s">
        <v>25</v>
      </c>
      <c r="H17" s="5">
        <v>0.3</v>
      </c>
      <c r="I17" s="4">
        <f t="shared" si="2"/>
        <v>0</v>
      </c>
      <c r="J17" s="6">
        <f t="shared" si="0"/>
        <v>0</v>
      </c>
      <c r="K17" s="15">
        <f t="shared" si="1"/>
        <v>0</v>
      </c>
    </row>
    <row r="18" spans="1:11" ht="28" outlineLevel="2" x14ac:dyDescent="0.3">
      <c r="A18" s="121" t="s">
        <v>159</v>
      </c>
      <c r="B18" s="123" t="s">
        <v>7</v>
      </c>
      <c r="C18" s="29">
        <v>3</v>
      </c>
      <c r="D18" s="27">
        <v>114155</v>
      </c>
      <c r="E18" s="4" t="s">
        <v>30</v>
      </c>
      <c r="F18" s="4" t="s">
        <v>27</v>
      </c>
      <c r="G18" s="26" t="s">
        <v>35</v>
      </c>
      <c r="H18" s="5">
        <v>0.7</v>
      </c>
      <c r="I18" s="4">
        <f t="shared" si="2"/>
        <v>163078.57142857145</v>
      </c>
      <c r="J18" s="6">
        <f t="shared" si="0"/>
        <v>6.1320134904296781E-6</v>
      </c>
      <c r="K18" s="15">
        <f t="shared" si="1"/>
        <v>1.8396040471289034E-5</v>
      </c>
    </row>
    <row r="19" spans="1:11" outlineLevel="2" x14ac:dyDescent="0.3">
      <c r="A19" s="122"/>
      <c r="B19" s="124"/>
      <c r="C19" s="29">
        <v>3</v>
      </c>
      <c r="D19" s="27">
        <v>114155</v>
      </c>
      <c r="E19" s="4" t="s">
        <v>24</v>
      </c>
      <c r="F19" s="4" t="s">
        <v>28</v>
      </c>
      <c r="G19" s="26" t="s">
        <v>25</v>
      </c>
      <c r="H19" s="5">
        <v>0.3</v>
      </c>
      <c r="I19" s="4">
        <f t="shared" si="2"/>
        <v>0</v>
      </c>
      <c r="J19" s="6">
        <f t="shared" si="0"/>
        <v>0</v>
      </c>
      <c r="K19" s="15">
        <f t="shared" si="1"/>
        <v>0</v>
      </c>
    </row>
    <row r="20" spans="1:11" ht="28" outlineLevel="2" x14ac:dyDescent="0.3">
      <c r="A20" s="121" t="s">
        <v>158</v>
      </c>
      <c r="B20" s="123" t="s">
        <v>7</v>
      </c>
      <c r="C20" s="29">
        <v>2</v>
      </c>
      <c r="D20" s="4">
        <v>57305.9</v>
      </c>
      <c r="E20" s="4" t="s">
        <v>30</v>
      </c>
      <c r="F20" s="4" t="s">
        <v>27</v>
      </c>
      <c r="G20" s="26" t="s">
        <v>35</v>
      </c>
      <c r="H20" s="5">
        <v>0.7</v>
      </c>
      <c r="I20" s="4">
        <f t="shared" si="2"/>
        <v>81865.571428571435</v>
      </c>
      <c r="J20" s="6">
        <f t="shared" si="0"/>
        <v>1.2215147131447197E-5</v>
      </c>
      <c r="K20" s="15">
        <f t="shared" si="1"/>
        <v>2.4430294262894394E-5</v>
      </c>
    </row>
    <row r="21" spans="1:11" outlineLevel="2" x14ac:dyDescent="0.3">
      <c r="A21" s="122"/>
      <c r="B21" s="124"/>
      <c r="C21" s="29">
        <v>2</v>
      </c>
      <c r="D21" s="4">
        <v>57305.9</v>
      </c>
      <c r="E21" s="4" t="s">
        <v>24</v>
      </c>
      <c r="F21" s="4" t="s">
        <v>28</v>
      </c>
      <c r="G21" s="26" t="s">
        <v>25</v>
      </c>
      <c r="H21" s="5">
        <v>0.3</v>
      </c>
      <c r="I21" s="4">
        <f t="shared" si="2"/>
        <v>0</v>
      </c>
      <c r="J21" s="6">
        <f t="shared" si="0"/>
        <v>0</v>
      </c>
      <c r="K21" s="15">
        <f t="shared" si="1"/>
        <v>0</v>
      </c>
    </row>
    <row r="22" spans="1:11" outlineLevel="2" x14ac:dyDescent="0.3">
      <c r="A22" s="121" t="s">
        <v>160</v>
      </c>
      <c r="B22" s="123" t="s">
        <v>8</v>
      </c>
      <c r="C22" s="29">
        <v>3</v>
      </c>
      <c r="D22" s="28">
        <v>22831</v>
      </c>
      <c r="E22" s="4" t="s">
        <v>20</v>
      </c>
      <c r="F22" s="4" t="s">
        <v>28</v>
      </c>
      <c r="G22" s="26" t="s">
        <v>25</v>
      </c>
      <c r="H22" s="5">
        <v>0.5</v>
      </c>
      <c r="I22" s="4">
        <f t="shared" si="2"/>
        <v>0</v>
      </c>
      <c r="J22" s="6">
        <f t="shared" si="0"/>
        <v>0</v>
      </c>
      <c r="K22" s="15">
        <f t="shared" si="1"/>
        <v>0</v>
      </c>
    </row>
    <row r="23" spans="1:11" ht="28" outlineLevel="2" x14ac:dyDescent="0.3">
      <c r="A23" s="122"/>
      <c r="B23" s="124"/>
      <c r="C23" s="29">
        <v>3</v>
      </c>
      <c r="D23" s="28">
        <v>22831</v>
      </c>
      <c r="E23" s="4" t="s">
        <v>29</v>
      </c>
      <c r="F23" s="4" t="s">
        <v>27</v>
      </c>
      <c r="G23" s="26" t="s">
        <v>184</v>
      </c>
      <c r="H23" s="5">
        <v>0.5</v>
      </c>
      <c r="I23" s="4">
        <f t="shared" si="2"/>
        <v>45662</v>
      </c>
      <c r="J23" s="6">
        <f t="shared" si="0"/>
        <v>2.1900048180105996E-5</v>
      </c>
      <c r="K23" s="15">
        <f t="shared" si="1"/>
        <v>6.5700144540317985E-5</v>
      </c>
    </row>
    <row r="24" spans="1:11" outlineLevel="2" x14ac:dyDescent="0.3">
      <c r="A24" s="121" t="s">
        <v>161</v>
      </c>
      <c r="B24" s="123" t="s">
        <v>8</v>
      </c>
      <c r="C24" s="29">
        <v>1</v>
      </c>
      <c r="D24" s="28">
        <v>22831</v>
      </c>
      <c r="E24" s="4" t="s">
        <v>20</v>
      </c>
      <c r="F24" s="4" t="s">
        <v>27</v>
      </c>
      <c r="G24" s="26" t="s">
        <v>25</v>
      </c>
      <c r="H24" s="5">
        <v>0.5</v>
      </c>
      <c r="I24" s="4">
        <f t="shared" si="2"/>
        <v>45662</v>
      </c>
      <c r="J24" s="6">
        <f t="shared" si="0"/>
        <v>2.1900048180105996E-5</v>
      </c>
      <c r="K24" s="15">
        <f t="shared" si="1"/>
        <v>2.1900048180105996E-5</v>
      </c>
    </row>
    <row r="25" spans="1:11" ht="28" outlineLevel="2" x14ac:dyDescent="0.3">
      <c r="A25" s="122"/>
      <c r="B25" s="124"/>
      <c r="C25" s="29">
        <v>1</v>
      </c>
      <c r="D25" s="28">
        <v>22831</v>
      </c>
      <c r="E25" s="4" t="s">
        <v>162</v>
      </c>
      <c r="F25" s="4" t="s">
        <v>27</v>
      </c>
      <c r="G25" s="26" t="s">
        <v>184</v>
      </c>
      <c r="H25" s="5">
        <v>0.5</v>
      </c>
      <c r="I25" s="4">
        <f t="shared" si="2"/>
        <v>45662</v>
      </c>
      <c r="J25" s="6">
        <f t="shared" si="0"/>
        <v>2.1900048180105996E-5</v>
      </c>
      <c r="K25" s="15">
        <f t="shared" si="1"/>
        <v>2.1900048180105996E-5</v>
      </c>
    </row>
    <row r="26" spans="1:11" outlineLevel="2" x14ac:dyDescent="0.3">
      <c r="A26" s="121" t="s">
        <v>163</v>
      </c>
      <c r="B26" s="123" t="s">
        <v>8</v>
      </c>
      <c r="C26" s="29">
        <v>5</v>
      </c>
      <c r="D26" s="28">
        <v>22831</v>
      </c>
      <c r="E26" s="4" t="s">
        <v>20</v>
      </c>
      <c r="F26" s="4" t="s">
        <v>28</v>
      </c>
      <c r="G26" s="26" t="s">
        <v>25</v>
      </c>
      <c r="H26" s="5">
        <v>0.5</v>
      </c>
      <c r="I26" s="4">
        <f t="shared" si="2"/>
        <v>0</v>
      </c>
      <c r="J26" s="6">
        <f t="shared" si="0"/>
        <v>0</v>
      </c>
      <c r="K26" s="15">
        <f t="shared" si="1"/>
        <v>0</v>
      </c>
    </row>
    <row r="27" spans="1:11" ht="28" outlineLevel="2" x14ac:dyDescent="0.3">
      <c r="A27" s="122"/>
      <c r="B27" s="124"/>
      <c r="C27" s="29">
        <v>5</v>
      </c>
      <c r="D27" s="28">
        <v>22831</v>
      </c>
      <c r="E27" s="4" t="s">
        <v>29</v>
      </c>
      <c r="F27" s="4" t="s">
        <v>27</v>
      </c>
      <c r="G27" s="26" t="s">
        <v>36</v>
      </c>
      <c r="H27" s="5">
        <v>0.5</v>
      </c>
      <c r="I27" s="4">
        <f t="shared" si="2"/>
        <v>45662</v>
      </c>
      <c r="J27" s="6">
        <f t="shared" si="0"/>
        <v>2.1900048180105996E-5</v>
      </c>
      <c r="K27" s="15">
        <f t="shared" si="1"/>
        <v>1.0950024090052998E-4</v>
      </c>
    </row>
    <row r="28" spans="1:11" outlineLevel="2" x14ac:dyDescent="0.3">
      <c r="A28" s="121" t="s">
        <v>164</v>
      </c>
      <c r="B28" s="123" t="s">
        <v>7</v>
      </c>
      <c r="C28" s="29">
        <v>3</v>
      </c>
      <c r="D28" s="27">
        <v>114155</v>
      </c>
      <c r="E28" s="4" t="s">
        <v>20</v>
      </c>
      <c r="F28" s="4" t="s">
        <v>28</v>
      </c>
      <c r="G28" s="26" t="s">
        <v>25</v>
      </c>
      <c r="H28" s="5">
        <v>0.7</v>
      </c>
      <c r="I28" s="4">
        <f t="shared" si="2"/>
        <v>0</v>
      </c>
      <c r="J28" s="6">
        <f t="shared" si="0"/>
        <v>0</v>
      </c>
      <c r="K28" s="15">
        <f t="shared" si="1"/>
        <v>0</v>
      </c>
    </row>
    <row r="29" spans="1:11" outlineLevel="2" x14ac:dyDescent="0.3">
      <c r="A29" s="122"/>
      <c r="B29" s="124"/>
      <c r="C29" s="29">
        <v>3</v>
      </c>
      <c r="D29" s="27">
        <v>114155</v>
      </c>
      <c r="E29" s="4" t="s">
        <v>24</v>
      </c>
      <c r="F29" s="4" t="s">
        <v>28</v>
      </c>
      <c r="G29" s="26" t="s">
        <v>25</v>
      </c>
      <c r="H29" s="5">
        <v>0.3</v>
      </c>
      <c r="I29" s="4">
        <f t="shared" si="2"/>
        <v>0</v>
      </c>
      <c r="J29" s="6">
        <f t="shared" si="0"/>
        <v>0</v>
      </c>
      <c r="K29" s="15">
        <f t="shared" si="1"/>
        <v>0</v>
      </c>
    </row>
    <row r="30" spans="1:11" outlineLevel="2" x14ac:dyDescent="0.3">
      <c r="A30" s="121" t="s">
        <v>166</v>
      </c>
      <c r="B30" s="123" t="s">
        <v>7</v>
      </c>
      <c r="C30" s="29">
        <v>5</v>
      </c>
      <c r="D30" s="27">
        <v>114155</v>
      </c>
      <c r="E30" s="4" t="s">
        <v>20</v>
      </c>
      <c r="F30" s="4" t="s">
        <v>27</v>
      </c>
      <c r="G30" s="26" t="s">
        <v>187</v>
      </c>
      <c r="H30" s="5">
        <v>0.7</v>
      </c>
      <c r="I30" s="4">
        <f t="shared" si="2"/>
        <v>163078.57142857145</v>
      </c>
      <c r="J30" s="6">
        <f t="shared" si="0"/>
        <v>6.1320134904296781E-6</v>
      </c>
      <c r="K30" s="15">
        <f t="shared" si="1"/>
        <v>3.0660067452148394E-5</v>
      </c>
    </row>
    <row r="31" spans="1:11" outlineLevel="2" x14ac:dyDescent="0.3">
      <c r="A31" s="122"/>
      <c r="B31" s="124"/>
      <c r="C31" s="29">
        <v>5</v>
      </c>
      <c r="D31" s="27">
        <v>114155</v>
      </c>
      <c r="E31" s="4" t="s">
        <v>24</v>
      </c>
      <c r="F31" s="4" t="s">
        <v>28</v>
      </c>
      <c r="G31" s="26" t="s">
        <v>25</v>
      </c>
      <c r="H31" s="5">
        <v>0.3</v>
      </c>
      <c r="I31" s="4">
        <f t="shared" si="2"/>
        <v>0</v>
      </c>
      <c r="J31" s="6">
        <f t="shared" si="0"/>
        <v>0</v>
      </c>
      <c r="K31" s="15">
        <f t="shared" si="1"/>
        <v>0</v>
      </c>
    </row>
    <row r="32" spans="1:11" outlineLevel="2" x14ac:dyDescent="0.3">
      <c r="A32" s="121" t="s">
        <v>165</v>
      </c>
      <c r="B32" s="123" t="s">
        <v>8</v>
      </c>
      <c r="C32" s="29">
        <v>4</v>
      </c>
      <c r="D32" s="28">
        <v>22831</v>
      </c>
      <c r="E32" s="4" t="s">
        <v>20</v>
      </c>
      <c r="F32" s="4" t="s">
        <v>28</v>
      </c>
      <c r="G32" s="26" t="s">
        <v>25</v>
      </c>
      <c r="H32" s="5">
        <v>0.5</v>
      </c>
      <c r="I32" s="4">
        <f t="shared" si="2"/>
        <v>0</v>
      </c>
      <c r="J32" s="6">
        <f t="shared" si="0"/>
        <v>0</v>
      </c>
      <c r="K32" s="15">
        <f t="shared" si="1"/>
        <v>0</v>
      </c>
    </row>
    <row r="33" spans="1:14" outlineLevel="2" x14ac:dyDescent="0.3">
      <c r="A33" s="122"/>
      <c r="B33" s="124"/>
      <c r="C33" s="29">
        <v>4</v>
      </c>
      <c r="D33" s="28">
        <v>22831</v>
      </c>
      <c r="E33" s="4" t="s">
        <v>29</v>
      </c>
      <c r="F33" s="4" t="s">
        <v>28</v>
      </c>
      <c r="G33" s="26" t="s">
        <v>25</v>
      </c>
      <c r="H33" s="5">
        <v>0.5</v>
      </c>
      <c r="I33" s="4">
        <f t="shared" si="2"/>
        <v>0</v>
      </c>
      <c r="J33" s="6">
        <f t="shared" si="0"/>
        <v>0</v>
      </c>
      <c r="K33" s="15">
        <f t="shared" si="1"/>
        <v>0</v>
      </c>
    </row>
    <row r="34" spans="1:14" ht="28" outlineLevel="2" x14ac:dyDescent="0.3">
      <c r="A34" s="121" t="s">
        <v>167</v>
      </c>
      <c r="B34" s="123" t="s">
        <v>10</v>
      </c>
      <c r="C34" s="4">
        <v>1</v>
      </c>
      <c r="D34" s="4">
        <v>38052</v>
      </c>
      <c r="E34" s="4" t="s">
        <v>50</v>
      </c>
      <c r="F34" s="4" t="s">
        <v>27</v>
      </c>
      <c r="G34" s="26" t="s">
        <v>185</v>
      </c>
      <c r="H34" s="34">
        <v>0.16700000000000001</v>
      </c>
      <c r="I34" s="4">
        <f t="shared" si="2"/>
        <v>227856.2874251497</v>
      </c>
      <c r="J34" s="6">
        <f t="shared" si="0"/>
        <v>4.3887312099232626E-6</v>
      </c>
      <c r="K34" s="15">
        <f t="shared" si="1"/>
        <v>4.3887312099232626E-6</v>
      </c>
    </row>
    <row r="35" spans="1:14" ht="28" outlineLevel="2" x14ac:dyDescent="0.3">
      <c r="A35" s="125"/>
      <c r="B35" s="126"/>
      <c r="C35" s="4">
        <v>1</v>
      </c>
      <c r="D35" s="4">
        <v>38052</v>
      </c>
      <c r="E35" s="4" t="s">
        <v>51</v>
      </c>
      <c r="F35" s="4" t="s">
        <v>27</v>
      </c>
      <c r="G35" s="26" t="s">
        <v>184</v>
      </c>
      <c r="H35" s="34">
        <v>0.16700000000000001</v>
      </c>
      <c r="I35" s="4">
        <f t="shared" si="2"/>
        <v>227856.2874251497</v>
      </c>
      <c r="J35" s="6">
        <f t="shared" si="0"/>
        <v>4.3887312099232626E-6</v>
      </c>
      <c r="K35" s="15">
        <f t="shared" si="1"/>
        <v>4.3887312099232626E-6</v>
      </c>
    </row>
    <row r="36" spans="1:14" ht="28" outlineLevel="2" x14ac:dyDescent="0.3">
      <c r="A36" s="125"/>
      <c r="B36" s="126"/>
      <c r="C36" s="4">
        <v>1</v>
      </c>
      <c r="D36" s="4">
        <v>38052</v>
      </c>
      <c r="E36" s="4" t="s">
        <v>52</v>
      </c>
      <c r="F36" s="4" t="s">
        <v>156</v>
      </c>
      <c r="G36" s="26" t="s">
        <v>184</v>
      </c>
      <c r="H36" s="34">
        <v>0.16700000000000001</v>
      </c>
      <c r="I36" s="4">
        <f t="shared" si="2"/>
        <v>227856.2874251497</v>
      </c>
      <c r="J36" s="6">
        <f t="shared" si="0"/>
        <v>4.3887312099232626E-6</v>
      </c>
      <c r="K36" s="15">
        <f t="shared" si="1"/>
        <v>4.3887312099232626E-6</v>
      </c>
    </row>
    <row r="37" spans="1:14" outlineLevel="2" x14ac:dyDescent="0.3">
      <c r="A37" s="125"/>
      <c r="B37" s="126"/>
      <c r="C37" s="4">
        <v>1</v>
      </c>
      <c r="D37" s="4">
        <v>38052</v>
      </c>
      <c r="E37" s="4" t="s">
        <v>53</v>
      </c>
      <c r="F37" s="4" t="s">
        <v>28</v>
      </c>
      <c r="G37" s="26" t="s">
        <v>25</v>
      </c>
      <c r="H37" s="34">
        <v>0.16700000000000001</v>
      </c>
      <c r="I37" s="4">
        <f t="shared" si="2"/>
        <v>0</v>
      </c>
      <c r="J37" s="6">
        <f t="shared" si="0"/>
        <v>0</v>
      </c>
      <c r="K37" s="15">
        <f t="shared" si="1"/>
        <v>0</v>
      </c>
    </row>
    <row r="38" spans="1:14" outlineLevel="2" x14ac:dyDescent="0.3">
      <c r="A38" s="125"/>
      <c r="B38" s="126"/>
      <c r="C38" s="4">
        <v>1</v>
      </c>
      <c r="D38" s="4">
        <v>38052</v>
      </c>
      <c r="E38" s="4" t="s">
        <v>54</v>
      </c>
      <c r="F38" s="4" t="s">
        <v>28</v>
      </c>
      <c r="G38" s="26" t="s">
        <v>25</v>
      </c>
      <c r="H38" s="34">
        <v>0.16700000000000001</v>
      </c>
      <c r="I38" s="4">
        <f t="shared" si="2"/>
        <v>0</v>
      </c>
      <c r="J38" s="6">
        <f t="shared" si="0"/>
        <v>0</v>
      </c>
      <c r="K38" s="15">
        <f t="shared" si="1"/>
        <v>0</v>
      </c>
    </row>
    <row r="39" spans="1:14" outlineLevel="2" x14ac:dyDescent="0.3">
      <c r="A39" s="122"/>
      <c r="B39" s="124"/>
      <c r="C39" s="4">
        <v>1</v>
      </c>
      <c r="D39" s="4">
        <v>38052</v>
      </c>
      <c r="E39" s="4" t="s">
        <v>55</v>
      </c>
      <c r="F39" s="4" t="s">
        <v>28</v>
      </c>
      <c r="G39" s="26" t="s">
        <v>25</v>
      </c>
      <c r="H39" s="34">
        <v>0.16700000000000001</v>
      </c>
      <c r="I39" s="4">
        <f t="shared" si="2"/>
        <v>0</v>
      </c>
      <c r="J39" s="6">
        <f t="shared" si="0"/>
        <v>0</v>
      </c>
      <c r="K39" s="15">
        <f t="shared" si="1"/>
        <v>0</v>
      </c>
    </row>
    <row r="40" spans="1:14" outlineLevel="2" x14ac:dyDescent="0.3">
      <c r="A40" s="121" t="s">
        <v>122</v>
      </c>
      <c r="B40" s="123" t="s">
        <v>37</v>
      </c>
      <c r="C40" s="29">
        <v>1</v>
      </c>
      <c r="D40" s="4">
        <v>22831</v>
      </c>
      <c r="E40" s="4" t="s">
        <v>38</v>
      </c>
      <c r="F40" s="4" t="s">
        <v>28</v>
      </c>
      <c r="G40" s="26" t="s">
        <v>186</v>
      </c>
      <c r="H40" s="30">
        <v>0.16700000000000001</v>
      </c>
      <c r="I40" s="4">
        <f t="shared" si="2"/>
        <v>0</v>
      </c>
      <c r="J40" s="6">
        <f t="shared" si="0"/>
        <v>0</v>
      </c>
      <c r="K40" s="15">
        <f t="shared" si="1"/>
        <v>0</v>
      </c>
    </row>
    <row r="41" spans="1:14" ht="42" outlineLevel="2" x14ac:dyDescent="0.3">
      <c r="A41" s="125"/>
      <c r="B41" s="126"/>
      <c r="C41" s="29">
        <v>1</v>
      </c>
      <c r="D41" s="4">
        <v>22831</v>
      </c>
      <c r="E41" s="4" t="s">
        <v>39</v>
      </c>
      <c r="F41" s="4" t="s">
        <v>28</v>
      </c>
      <c r="G41" s="26" t="s">
        <v>44</v>
      </c>
      <c r="H41" s="30">
        <v>0.16700000000000001</v>
      </c>
      <c r="I41" s="4">
        <f t="shared" si="2"/>
        <v>0</v>
      </c>
      <c r="J41" s="6">
        <f t="shared" si="0"/>
        <v>0</v>
      </c>
      <c r="K41" s="15">
        <f t="shared" si="1"/>
        <v>0</v>
      </c>
      <c r="L41" t="e">
        <f>1/#REF!</f>
        <v>#REF!</v>
      </c>
      <c r="M41">
        <v>0.6</v>
      </c>
      <c r="N41" t="e">
        <f>L41*M41</f>
        <v>#REF!</v>
      </c>
    </row>
    <row r="42" spans="1:14" ht="42" outlineLevel="2" x14ac:dyDescent="0.3">
      <c r="A42" s="125"/>
      <c r="B42" s="126"/>
      <c r="C42" s="29">
        <v>1</v>
      </c>
      <c r="D42" s="4">
        <v>22831</v>
      </c>
      <c r="E42" s="4" t="s">
        <v>40</v>
      </c>
      <c r="F42" s="4" t="s">
        <v>28</v>
      </c>
      <c r="G42" s="26" t="s">
        <v>44</v>
      </c>
      <c r="H42" s="30">
        <v>0.16700000000000001</v>
      </c>
      <c r="I42" s="4">
        <f t="shared" si="2"/>
        <v>0</v>
      </c>
      <c r="J42" s="6">
        <f t="shared" si="0"/>
        <v>0</v>
      </c>
      <c r="K42" s="15">
        <f t="shared" si="1"/>
        <v>0</v>
      </c>
    </row>
    <row r="43" spans="1:14" ht="42" outlineLevel="2" x14ac:dyDescent="0.3">
      <c r="A43" s="125"/>
      <c r="B43" s="126"/>
      <c r="C43" s="29">
        <v>1</v>
      </c>
      <c r="D43" s="4">
        <v>22831</v>
      </c>
      <c r="E43" s="4" t="s">
        <v>41</v>
      </c>
      <c r="F43" s="4" t="s">
        <v>28</v>
      </c>
      <c r="G43" s="26" t="s">
        <v>44</v>
      </c>
      <c r="H43" s="30">
        <v>0.16700000000000001</v>
      </c>
      <c r="I43" s="4">
        <f t="shared" si="2"/>
        <v>0</v>
      </c>
      <c r="J43" s="6">
        <f t="shared" si="0"/>
        <v>0</v>
      </c>
      <c r="K43" s="15">
        <f t="shared" si="1"/>
        <v>0</v>
      </c>
    </row>
    <row r="44" spans="1:14" ht="42" outlineLevel="2" x14ac:dyDescent="0.3">
      <c r="A44" s="125"/>
      <c r="B44" s="126"/>
      <c r="C44" s="29">
        <v>1</v>
      </c>
      <c r="D44" s="4">
        <v>22831</v>
      </c>
      <c r="E44" s="4" t="s">
        <v>42</v>
      </c>
      <c r="F44" s="4" t="s">
        <v>28</v>
      </c>
      <c r="G44" s="26" t="s">
        <v>44</v>
      </c>
      <c r="H44" s="30">
        <v>0.16700000000000001</v>
      </c>
      <c r="I44" s="4">
        <f t="shared" si="2"/>
        <v>0</v>
      </c>
      <c r="J44" s="6">
        <f t="shared" si="0"/>
        <v>0</v>
      </c>
      <c r="K44" s="15">
        <f t="shared" si="1"/>
        <v>0</v>
      </c>
    </row>
    <row r="45" spans="1:14" ht="42" outlineLevel="2" x14ac:dyDescent="0.3">
      <c r="A45" s="122"/>
      <c r="B45" s="124"/>
      <c r="C45" s="29">
        <v>1</v>
      </c>
      <c r="D45" s="4">
        <v>22831</v>
      </c>
      <c r="E45" s="4" t="s">
        <v>43</v>
      </c>
      <c r="F45" s="4" t="s">
        <v>28</v>
      </c>
      <c r="G45" s="26" t="s">
        <v>188</v>
      </c>
      <c r="H45" s="30">
        <v>0.16700000000000001</v>
      </c>
      <c r="I45" s="4">
        <f t="shared" si="2"/>
        <v>0</v>
      </c>
      <c r="J45" s="6">
        <f t="shared" si="0"/>
        <v>0</v>
      </c>
      <c r="K45" s="15">
        <f t="shared" si="1"/>
        <v>0</v>
      </c>
    </row>
    <row r="46" spans="1:14" ht="28" outlineLevel="2" x14ac:dyDescent="0.3">
      <c r="A46" s="121" t="s">
        <v>168</v>
      </c>
      <c r="B46" s="123" t="s">
        <v>8</v>
      </c>
      <c r="C46" s="29">
        <v>2</v>
      </c>
      <c r="D46" s="28">
        <v>22831</v>
      </c>
      <c r="E46" s="4" t="s">
        <v>20</v>
      </c>
      <c r="F46" s="4" t="s">
        <v>28</v>
      </c>
      <c r="G46" s="26" t="s">
        <v>184</v>
      </c>
      <c r="H46" s="5">
        <v>0.5</v>
      </c>
      <c r="I46" s="4">
        <f t="shared" si="2"/>
        <v>0</v>
      </c>
      <c r="J46" s="6">
        <f t="shared" si="0"/>
        <v>0</v>
      </c>
      <c r="K46" s="15">
        <f t="shared" si="1"/>
        <v>0</v>
      </c>
    </row>
    <row r="47" spans="1:14" outlineLevel="2" x14ac:dyDescent="0.3">
      <c r="A47" s="122"/>
      <c r="B47" s="124"/>
      <c r="C47" s="29">
        <v>2</v>
      </c>
      <c r="D47" s="28">
        <v>22831</v>
      </c>
      <c r="E47" s="4" t="s">
        <v>29</v>
      </c>
      <c r="F47" s="4" t="s">
        <v>145</v>
      </c>
      <c r="G47" s="26" t="s">
        <v>25</v>
      </c>
      <c r="H47" s="5">
        <v>0.5</v>
      </c>
      <c r="I47" s="4">
        <f t="shared" si="2"/>
        <v>45662</v>
      </c>
      <c r="J47" s="6">
        <f t="shared" si="0"/>
        <v>2.1900048180105996E-5</v>
      </c>
      <c r="K47" s="15">
        <f t="shared" si="1"/>
        <v>4.3800096360211993E-5</v>
      </c>
    </row>
    <row r="48" spans="1:14" ht="28" outlineLevel="2" x14ac:dyDescent="0.3">
      <c r="A48" s="121" t="s">
        <v>169</v>
      </c>
      <c r="B48" s="123" t="s">
        <v>7</v>
      </c>
      <c r="C48" s="29">
        <v>4</v>
      </c>
      <c r="D48" s="27">
        <v>114155</v>
      </c>
      <c r="E48" s="4" t="s">
        <v>20</v>
      </c>
      <c r="F48" s="4" t="s">
        <v>27</v>
      </c>
      <c r="G48" s="26" t="s">
        <v>184</v>
      </c>
      <c r="H48" s="30">
        <v>0.7</v>
      </c>
      <c r="I48" s="4">
        <f t="shared" si="2"/>
        <v>163078.57142857145</v>
      </c>
      <c r="J48" s="6">
        <f t="shared" si="0"/>
        <v>6.1320134904296781E-6</v>
      </c>
      <c r="K48" s="15">
        <f t="shared" si="1"/>
        <v>2.4528053961718713E-5</v>
      </c>
    </row>
    <row r="49" spans="1:14" outlineLevel="2" x14ac:dyDescent="0.3">
      <c r="A49" s="122"/>
      <c r="B49" s="124"/>
      <c r="C49" s="29">
        <v>4</v>
      </c>
      <c r="D49" s="27">
        <v>114155</v>
      </c>
      <c r="E49" s="4" t="s">
        <v>24</v>
      </c>
      <c r="F49" s="4" t="s">
        <v>28</v>
      </c>
      <c r="G49" s="26" t="s">
        <v>25</v>
      </c>
      <c r="H49" s="30">
        <v>0.3</v>
      </c>
      <c r="I49" s="4">
        <f t="shared" si="2"/>
        <v>0</v>
      </c>
      <c r="J49" s="6">
        <f t="shared" si="0"/>
        <v>0</v>
      </c>
      <c r="K49" s="15">
        <f t="shared" si="1"/>
        <v>0</v>
      </c>
    </row>
    <row r="50" spans="1:14" ht="28" outlineLevel="2" x14ac:dyDescent="0.3">
      <c r="A50" s="121" t="s">
        <v>171</v>
      </c>
      <c r="B50" s="123" t="s">
        <v>7</v>
      </c>
      <c r="C50" s="29">
        <v>4</v>
      </c>
      <c r="D50" s="27">
        <v>114155</v>
      </c>
      <c r="E50" s="4" t="s">
        <v>20</v>
      </c>
      <c r="F50" s="4" t="s">
        <v>170</v>
      </c>
      <c r="G50" s="26" t="s">
        <v>184</v>
      </c>
      <c r="H50" s="30">
        <v>0.7</v>
      </c>
      <c r="I50" s="4">
        <f t="shared" si="2"/>
        <v>0</v>
      </c>
      <c r="J50" s="6">
        <f t="shared" si="0"/>
        <v>0</v>
      </c>
      <c r="K50" s="15">
        <f t="shared" si="1"/>
        <v>0</v>
      </c>
    </row>
    <row r="51" spans="1:14" outlineLevel="2" x14ac:dyDescent="0.3">
      <c r="A51" s="122"/>
      <c r="B51" s="124"/>
      <c r="C51" s="29">
        <v>4</v>
      </c>
      <c r="D51" s="27">
        <v>114155</v>
      </c>
      <c r="E51" s="4" t="s">
        <v>24</v>
      </c>
      <c r="F51" s="4" t="s">
        <v>28</v>
      </c>
      <c r="G51" s="26" t="s">
        <v>25</v>
      </c>
      <c r="H51" s="30">
        <v>0.3</v>
      </c>
      <c r="I51" s="4">
        <f t="shared" si="2"/>
        <v>0</v>
      </c>
      <c r="J51" s="6">
        <f t="shared" si="0"/>
        <v>0</v>
      </c>
      <c r="K51" s="15">
        <f t="shared" si="1"/>
        <v>0</v>
      </c>
    </row>
    <row r="52" spans="1:14" outlineLevel="2" x14ac:dyDescent="0.3">
      <c r="A52" s="16"/>
      <c r="B52" s="7"/>
      <c r="C52" s="7"/>
      <c r="D52" s="7"/>
      <c r="E52" s="7"/>
      <c r="F52" s="7"/>
      <c r="G52" s="7"/>
      <c r="H52" s="7"/>
      <c r="I52" s="7"/>
      <c r="J52" s="7"/>
      <c r="K52" s="14">
        <f>1/SUM(K11:K51)</f>
        <v>2221.2696763534768</v>
      </c>
      <c r="L52">
        <f>1/K52</f>
        <v>4.5019297325556574E-4</v>
      </c>
      <c r="M52">
        <v>0.6</v>
      </c>
      <c r="N52">
        <f>L52*M52</f>
        <v>2.7011578395333944E-4</v>
      </c>
    </row>
    <row r="53" spans="1:14" ht="17.5" outlineLevel="1" x14ac:dyDescent="0.35">
      <c r="A53" s="127" t="s">
        <v>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9"/>
    </row>
    <row r="54" spans="1:14" ht="28.5" customHeight="1" outlineLevel="2" x14ac:dyDescent="0.3">
      <c r="A54" s="31" t="s">
        <v>13</v>
      </c>
      <c r="B54" s="32" t="s">
        <v>4</v>
      </c>
      <c r="C54" s="32" t="s">
        <v>5</v>
      </c>
      <c r="D54" s="32" t="s">
        <v>12</v>
      </c>
      <c r="E54" s="32" t="s">
        <v>19</v>
      </c>
      <c r="F54" s="32" t="s">
        <v>26</v>
      </c>
      <c r="G54" s="32" t="s">
        <v>21</v>
      </c>
      <c r="H54" s="32" t="s">
        <v>6</v>
      </c>
      <c r="I54" s="32" t="s">
        <v>14</v>
      </c>
      <c r="J54" s="32" t="s">
        <v>15</v>
      </c>
      <c r="K54" s="33" t="s">
        <v>16</v>
      </c>
    </row>
    <row r="55" spans="1:14" ht="28.5" customHeight="1" outlineLevel="2" x14ac:dyDescent="0.3">
      <c r="A55" s="121" t="s">
        <v>172</v>
      </c>
      <c r="B55" s="123" t="s">
        <v>8</v>
      </c>
      <c r="C55" s="4">
        <v>4</v>
      </c>
      <c r="D55" s="28">
        <v>22831</v>
      </c>
      <c r="E55" s="4" t="s">
        <v>20</v>
      </c>
      <c r="F55" s="4" t="s">
        <v>28</v>
      </c>
      <c r="G55" s="4" t="s">
        <v>25</v>
      </c>
      <c r="H55" s="5">
        <v>0.5</v>
      </c>
      <c r="I55" s="4">
        <f t="shared" ref="I55:I84" si="3">IF(F55="yes",D55/H55,0)</f>
        <v>0</v>
      </c>
      <c r="J55" s="6">
        <f t="shared" ref="J55:J110" si="4">IF(I55= 0,0,1/I55)</f>
        <v>0</v>
      </c>
      <c r="K55" s="15">
        <f>J55*C55</f>
        <v>0</v>
      </c>
    </row>
    <row r="56" spans="1:14" ht="14.25" customHeight="1" outlineLevel="2" x14ac:dyDescent="0.3">
      <c r="A56" s="122"/>
      <c r="B56" s="124"/>
      <c r="C56" s="4">
        <v>4</v>
      </c>
      <c r="D56" s="28">
        <v>22831</v>
      </c>
      <c r="E56" s="4" t="s">
        <v>29</v>
      </c>
      <c r="F56" s="4" t="s">
        <v>28</v>
      </c>
      <c r="G56" s="4" t="s">
        <v>25</v>
      </c>
      <c r="H56" s="5">
        <v>0.5</v>
      </c>
      <c r="I56" s="4">
        <f t="shared" si="3"/>
        <v>0</v>
      </c>
      <c r="J56" s="6">
        <f t="shared" si="4"/>
        <v>0</v>
      </c>
      <c r="K56" s="15">
        <f>J56*C56</f>
        <v>0</v>
      </c>
    </row>
    <row r="57" spans="1:14" ht="28.5" customHeight="1" outlineLevel="2" x14ac:dyDescent="0.3">
      <c r="A57" s="121" t="s">
        <v>173</v>
      </c>
      <c r="B57" s="123" t="s">
        <v>37</v>
      </c>
      <c r="C57" s="4">
        <v>2</v>
      </c>
      <c r="D57" s="4">
        <v>55936.34</v>
      </c>
      <c r="E57" s="4" t="s">
        <v>38</v>
      </c>
      <c r="F57" s="4" t="s">
        <v>28</v>
      </c>
      <c r="G57" s="4" t="s">
        <v>47</v>
      </c>
      <c r="H57" s="34">
        <v>0.16700000000000001</v>
      </c>
      <c r="I57" s="4">
        <f t="shared" si="3"/>
        <v>0</v>
      </c>
      <c r="J57" s="6">
        <f t="shared" si="4"/>
        <v>0</v>
      </c>
      <c r="K57" s="15">
        <f>J57*C57</f>
        <v>0</v>
      </c>
      <c r="L57">
        <f>1/K111</f>
        <v>6.3891437676555948E-4</v>
      </c>
      <c r="M57">
        <v>0.9</v>
      </c>
      <c r="N57">
        <f>L57*M57</f>
        <v>5.7502293908900351E-4</v>
      </c>
    </row>
    <row r="58" spans="1:14" outlineLevel="2" x14ac:dyDescent="0.3">
      <c r="A58" s="125"/>
      <c r="B58" s="126"/>
      <c r="C58" s="4">
        <v>2</v>
      </c>
      <c r="D58" s="4">
        <v>55936.34</v>
      </c>
      <c r="E58" s="4" t="s">
        <v>39</v>
      </c>
      <c r="F58" s="4" t="s">
        <v>28</v>
      </c>
      <c r="G58" s="4" t="s">
        <v>47</v>
      </c>
      <c r="H58" s="34">
        <v>0.16700000000000001</v>
      </c>
      <c r="I58" s="4">
        <f t="shared" si="3"/>
        <v>0</v>
      </c>
      <c r="J58" s="6">
        <f t="shared" si="4"/>
        <v>0</v>
      </c>
      <c r="K58" s="15">
        <f>J58*C58</f>
        <v>0</v>
      </c>
    </row>
    <row r="59" spans="1:14" outlineLevel="2" x14ac:dyDescent="0.3">
      <c r="A59" s="125"/>
      <c r="B59" s="126"/>
      <c r="C59" s="4">
        <v>2</v>
      </c>
      <c r="D59" s="4">
        <v>55936.34</v>
      </c>
      <c r="E59" s="4" t="s">
        <v>40</v>
      </c>
      <c r="F59" s="4" t="s">
        <v>28</v>
      </c>
      <c r="G59" s="4" t="s">
        <v>47</v>
      </c>
      <c r="H59" s="34">
        <v>0.16700000000000001</v>
      </c>
      <c r="I59" s="4">
        <f t="shared" si="3"/>
        <v>0</v>
      </c>
      <c r="J59" s="6">
        <f t="shared" si="4"/>
        <v>0</v>
      </c>
      <c r="K59" s="15">
        <f>J59*C59</f>
        <v>0</v>
      </c>
    </row>
    <row r="60" spans="1:14" ht="28" outlineLevel="2" x14ac:dyDescent="0.3">
      <c r="A60" s="125"/>
      <c r="B60" s="126"/>
      <c r="C60" s="4">
        <v>2</v>
      </c>
      <c r="D60" s="4">
        <v>55936.34</v>
      </c>
      <c r="E60" s="4" t="s">
        <v>41</v>
      </c>
      <c r="F60" s="4" t="s">
        <v>27</v>
      </c>
      <c r="G60" s="26" t="s">
        <v>48</v>
      </c>
      <c r="H60" s="34">
        <v>0.16700000000000001</v>
      </c>
      <c r="I60" s="4">
        <f t="shared" si="3"/>
        <v>334948.14371257479</v>
      </c>
      <c r="J60" s="6">
        <f t="shared" si="4"/>
        <v>2.9855367726955327E-6</v>
      </c>
      <c r="K60" s="15">
        <f t="shared" ref="K60:K84" si="5">J60*C60</f>
        <v>5.9710735453910653E-6</v>
      </c>
    </row>
    <row r="61" spans="1:14" outlineLevel="2" x14ac:dyDescent="0.3">
      <c r="A61" s="125"/>
      <c r="B61" s="126"/>
      <c r="C61" s="4">
        <v>2</v>
      </c>
      <c r="D61" s="4">
        <v>55936.34</v>
      </c>
      <c r="E61" s="4" t="s">
        <v>42</v>
      </c>
      <c r="F61" s="4" t="s">
        <v>28</v>
      </c>
      <c r="G61" s="4" t="s">
        <v>47</v>
      </c>
      <c r="H61" s="34">
        <v>0.16700000000000001</v>
      </c>
      <c r="I61" s="4">
        <f t="shared" si="3"/>
        <v>0</v>
      </c>
      <c r="J61" s="6">
        <f t="shared" si="4"/>
        <v>0</v>
      </c>
      <c r="K61" s="15">
        <f t="shared" si="5"/>
        <v>0</v>
      </c>
    </row>
    <row r="62" spans="1:14" outlineLevel="2" x14ac:dyDescent="0.3">
      <c r="A62" s="122"/>
      <c r="B62" s="124"/>
      <c r="C62" s="4">
        <v>2</v>
      </c>
      <c r="D62" s="4">
        <v>55936.34</v>
      </c>
      <c r="E62" s="4" t="s">
        <v>43</v>
      </c>
      <c r="F62" s="4" t="s">
        <v>28</v>
      </c>
      <c r="G62" s="4" t="s">
        <v>47</v>
      </c>
      <c r="H62" s="34">
        <v>0.16700000000000001</v>
      </c>
      <c r="I62" s="4">
        <f t="shared" si="3"/>
        <v>0</v>
      </c>
      <c r="J62" s="6">
        <f t="shared" si="4"/>
        <v>0</v>
      </c>
      <c r="K62" s="15">
        <f t="shared" si="5"/>
        <v>0</v>
      </c>
    </row>
    <row r="63" spans="1:14" outlineLevel="2" x14ac:dyDescent="0.3">
      <c r="A63" s="121" t="s">
        <v>118</v>
      </c>
      <c r="B63" s="123" t="s">
        <v>37</v>
      </c>
      <c r="C63" s="4">
        <v>1</v>
      </c>
      <c r="D63" s="4">
        <v>12490.58</v>
      </c>
      <c r="E63" s="4" t="s">
        <v>38</v>
      </c>
      <c r="F63" s="4" t="s">
        <v>28</v>
      </c>
      <c r="G63" s="4" t="s">
        <v>47</v>
      </c>
      <c r="H63" s="34">
        <v>0.16700000000000001</v>
      </c>
      <c r="I63" s="4">
        <f t="shared" si="3"/>
        <v>0</v>
      </c>
      <c r="J63" s="6">
        <f t="shared" si="4"/>
        <v>0</v>
      </c>
      <c r="K63" s="15">
        <f t="shared" si="5"/>
        <v>0</v>
      </c>
    </row>
    <row r="64" spans="1:14" s="67" customFormat="1" outlineLevel="2" x14ac:dyDescent="0.3">
      <c r="A64" s="125"/>
      <c r="B64" s="126"/>
      <c r="C64" s="4">
        <v>1</v>
      </c>
      <c r="D64" s="4">
        <v>12490.58</v>
      </c>
      <c r="E64" s="4" t="s">
        <v>39</v>
      </c>
      <c r="F64" s="4" t="s">
        <v>28</v>
      </c>
      <c r="G64" s="4" t="s">
        <v>47</v>
      </c>
      <c r="H64" s="34">
        <v>0.16700000000000001</v>
      </c>
      <c r="I64" s="4">
        <f t="shared" si="3"/>
        <v>0</v>
      </c>
      <c r="J64" s="6">
        <f t="shared" si="4"/>
        <v>0</v>
      </c>
      <c r="K64" s="15">
        <f t="shared" si="5"/>
        <v>0</v>
      </c>
    </row>
    <row r="65" spans="1:11" s="67" customFormat="1" outlineLevel="2" x14ac:dyDescent="0.3">
      <c r="A65" s="125"/>
      <c r="B65" s="126"/>
      <c r="C65" s="4">
        <v>1</v>
      </c>
      <c r="D65" s="4">
        <v>12490.58</v>
      </c>
      <c r="E65" s="4" t="s">
        <v>40</v>
      </c>
      <c r="F65" s="4" t="s">
        <v>28</v>
      </c>
      <c r="G65" s="4" t="s">
        <v>47</v>
      </c>
      <c r="H65" s="34">
        <v>0.16700000000000001</v>
      </c>
      <c r="I65" s="4">
        <f t="shared" si="3"/>
        <v>0</v>
      </c>
      <c r="J65" s="6">
        <f t="shared" si="4"/>
        <v>0</v>
      </c>
      <c r="K65" s="15">
        <f t="shared" si="5"/>
        <v>0</v>
      </c>
    </row>
    <row r="66" spans="1:11" s="67" customFormat="1" ht="28" outlineLevel="2" x14ac:dyDescent="0.3">
      <c r="A66" s="125"/>
      <c r="B66" s="126"/>
      <c r="C66" s="4">
        <v>1</v>
      </c>
      <c r="D66" s="4">
        <v>12490.58</v>
      </c>
      <c r="E66" s="4" t="s">
        <v>41</v>
      </c>
      <c r="F66" s="4" t="s">
        <v>27</v>
      </c>
      <c r="G66" s="26" t="s">
        <v>59</v>
      </c>
      <c r="H66" s="34">
        <v>0.16700000000000001</v>
      </c>
      <c r="I66" s="4">
        <f t="shared" si="3"/>
        <v>74793.892215568863</v>
      </c>
      <c r="J66" s="6">
        <f t="shared" si="4"/>
        <v>1.337007568903926E-5</v>
      </c>
      <c r="K66" s="15">
        <f t="shared" si="5"/>
        <v>1.337007568903926E-5</v>
      </c>
    </row>
    <row r="67" spans="1:11" s="67" customFormat="1" outlineLevel="2" x14ac:dyDescent="0.3">
      <c r="A67" s="125"/>
      <c r="B67" s="126"/>
      <c r="C67" s="4">
        <v>1</v>
      </c>
      <c r="D67" s="4">
        <v>12490.58</v>
      </c>
      <c r="E67" s="4" t="s">
        <v>42</v>
      </c>
      <c r="F67" s="4" t="s">
        <v>28</v>
      </c>
      <c r="G67" s="4" t="s">
        <v>47</v>
      </c>
      <c r="H67" s="34">
        <v>0.16700000000000001</v>
      </c>
      <c r="I67" s="4">
        <f t="shared" si="3"/>
        <v>0</v>
      </c>
      <c r="J67" s="6">
        <f t="shared" si="4"/>
        <v>0</v>
      </c>
      <c r="K67" s="15">
        <f t="shared" si="5"/>
        <v>0</v>
      </c>
    </row>
    <row r="68" spans="1:11" s="67" customFormat="1" outlineLevel="2" x14ac:dyDescent="0.3">
      <c r="A68" s="122"/>
      <c r="B68" s="124"/>
      <c r="C68" s="4">
        <v>1</v>
      </c>
      <c r="D68" s="4">
        <v>12490.58</v>
      </c>
      <c r="E68" s="4" t="s">
        <v>43</v>
      </c>
      <c r="F68" s="4" t="s">
        <v>179</v>
      </c>
      <c r="G68" s="4" t="s">
        <v>47</v>
      </c>
      <c r="H68" s="34">
        <v>0.16700000000000001</v>
      </c>
      <c r="I68" s="4">
        <f t="shared" si="3"/>
        <v>0</v>
      </c>
      <c r="J68" s="6">
        <f t="shared" si="4"/>
        <v>0</v>
      </c>
      <c r="K68" s="15">
        <f t="shared" si="5"/>
        <v>0</v>
      </c>
    </row>
    <row r="69" spans="1:11" s="67" customFormat="1" outlineLevel="2" x14ac:dyDescent="0.3">
      <c r="A69" s="121" t="s">
        <v>174</v>
      </c>
      <c r="B69" s="123" t="s">
        <v>49</v>
      </c>
      <c r="C69" s="4">
        <v>2</v>
      </c>
      <c r="D69" s="4">
        <v>114155</v>
      </c>
      <c r="E69" s="4" t="s">
        <v>20</v>
      </c>
      <c r="F69" s="4" t="s">
        <v>28</v>
      </c>
      <c r="G69" s="4" t="s">
        <v>25</v>
      </c>
      <c r="H69" s="5">
        <v>0.5</v>
      </c>
      <c r="I69" s="4">
        <f t="shared" si="3"/>
        <v>0</v>
      </c>
      <c r="J69" s="6">
        <f t="shared" si="4"/>
        <v>0</v>
      </c>
      <c r="K69" s="15">
        <f t="shared" si="5"/>
        <v>0</v>
      </c>
    </row>
    <row r="70" spans="1:11" outlineLevel="2" x14ac:dyDescent="0.3">
      <c r="A70" s="122"/>
      <c r="B70" s="124"/>
      <c r="C70" s="4">
        <v>2</v>
      </c>
      <c r="D70" s="4">
        <v>114155</v>
      </c>
      <c r="E70" s="4" t="s">
        <v>29</v>
      </c>
      <c r="F70" s="4" t="s">
        <v>156</v>
      </c>
      <c r="G70" s="4" t="s">
        <v>47</v>
      </c>
      <c r="H70" s="5">
        <v>0.5</v>
      </c>
      <c r="I70" s="4">
        <f t="shared" si="3"/>
        <v>228310</v>
      </c>
      <c r="J70" s="6">
        <f t="shared" si="4"/>
        <v>4.3800096360211989E-6</v>
      </c>
      <c r="K70" s="15">
        <f t="shared" si="5"/>
        <v>8.7600192720423978E-6</v>
      </c>
    </row>
    <row r="71" spans="1:11" outlineLevel="2" x14ac:dyDescent="0.3">
      <c r="A71" s="121" t="s">
        <v>124</v>
      </c>
      <c r="B71" s="123" t="s">
        <v>191</v>
      </c>
      <c r="C71" s="29">
        <v>1</v>
      </c>
      <c r="D71" s="4">
        <v>16308</v>
      </c>
      <c r="E71" s="4" t="s">
        <v>30</v>
      </c>
      <c r="F71" s="4" t="s">
        <v>157</v>
      </c>
      <c r="G71" s="4" t="s">
        <v>25</v>
      </c>
      <c r="H71" s="5">
        <v>0.5</v>
      </c>
      <c r="I71" s="4">
        <f t="shared" si="3"/>
        <v>0</v>
      </c>
      <c r="J71" s="6">
        <f t="shared" si="4"/>
        <v>0</v>
      </c>
      <c r="K71" s="15">
        <f t="shared" si="5"/>
        <v>0</v>
      </c>
    </row>
    <row r="72" spans="1:11" outlineLevel="2" x14ac:dyDescent="0.3">
      <c r="A72" s="122"/>
      <c r="B72" s="124"/>
      <c r="C72" s="29">
        <v>1</v>
      </c>
      <c r="D72" s="4">
        <v>16308</v>
      </c>
      <c r="E72" s="4" t="s">
        <v>29</v>
      </c>
      <c r="F72" s="4" t="s">
        <v>156</v>
      </c>
      <c r="G72" s="4" t="s">
        <v>47</v>
      </c>
      <c r="H72" s="5">
        <v>0.5</v>
      </c>
      <c r="I72" s="4">
        <f t="shared" si="3"/>
        <v>32616</v>
      </c>
      <c r="J72" s="6">
        <f t="shared" si="4"/>
        <v>3.0659798871719399E-5</v>
      </c>
      <c r="K72" s="15">
        <f t="shared" si="5"/>
        <v>3.0659798871719399E-5</v>
      </c>
    </row>
    <row r="73" spans="1:11" ht="28" outlineLevel="2" x14ac:dyDescent="0.3">
      <c r="A73" s="121" t="s">
        <v>177</v>
      </c>
      <c r="B73" s="123" t="s">
        <v>9</v>
      </c>
      <c r="C73" s="4">
        <v>2</v>
      </c>
      <c r="D73" s="4">
        <v>114155</v>
      </c>
      <c r="E73" s="4" t="s">
        <v>20</v>
      </c>
      <c r="F73" s="4" t="s">
        <v>28</v>
      </c>
      <c r="G73" s="26" t="s">
        <v>58</v>
      </c>
      <c r="H73" s="5">
        <v>0.5</v>
      </c>
      <c r="I73" s="8">
        <f t="shared" si="3"/>
        <v>0</v>
      </c>
      <c r="J73" s="9">
        <f t="shared" si="4"/>
        <v>0</v>
      </c>
      <c r="K73" s="17">
        <f t="shared" si="5"/>
        <v>0</v>
      </c>
    </row>
    <row r="74" spans="1:11" outlineLevel="2" x14ac:dyDescent="0.3">
      <c r="A74" s="122"/>
      <c r="B74" s="124"/>
      <c r="C74" s="4">
        <v>2</v>
      </c>
      <c r="D74" s="4">
        <v>114155</v>
      </c>
      <c r="E74" s="4" t="s">
        <v>29</v>
      </c>
      <c r="F74" s="4" t="s">
        <v>28</v>
      </c>
      <c r="G74" s="4" t="s">
        <v>25</v>
      </c>
      <c r="H74" s="5">
        <v>0.5</v>
      </c>
      <c r="I74" s="8">
        <f>IF(F74="yes",D74/H74,0)</f>
        <v>0</v>
      </c>
      <c r="J74" s="9">
        <f t="shared" si="4"/>
        <v>0</v>
      </c>
      <c r="K74" s="17">
        <f>J74*C74</f>
        <v>0</v>
      </c>
    </row>
    <row r="75" spans="1:11" outlineLevel="2" x14ac:dyDescent="0.3">
      <c r="A75" s="121" t="s">
        <v>180</v>
      </c>
      <c r="B75" s="123" t="s">
        <v>7</v>
      </c>
      <c r="C75" s="4">
        <v>5</v>
      </c>
      <c r="D75" s="4">
        <v>114155</v>
      </c>
      <c r="E75" s="4" t="s">
        <v>20</v>
      </c>
      <c r="F75" s="4" t="s">
        <v>28</v>
      </c>
      <c r="G75" s="4" t="s">
        <v>25</v>
      </c>
      <c r="H75" s="5">
        <v>0.5</v>
      </c>
      <c r="I75" s="4">
        <f t="shared" ref="I75:I76" si="6">IF(F75="yes",D75/H75,0)</f>
        <v>0</v>
      </c>
      <c r="J75" s="6">
        <f t="shared" si="4"/>
        <v>0</v>
      </c>
      <c r="K75" s="15">
        <f t="shared" ref="K75:K76" si="7">J75*C75</f>
        <v>0</v>
      </c>
    </row>
    <row r="76" spans="1:11" outlineLevel="2" x14ac:dyDescent="0.3">
      <c r="A76" s="122"/>
      <c r="B76" s="124"/>
      <c r="C76" s="4">
        <v>5</v>
      </c>
      <c r="D76" s="4">
        <v>114155</v>
      </c>
      <c r="E76" s="4" t="s">
        <v>24</v>
      </c>
      <c r="F76" s="4" t="s">
        <v>28</v>
      </c>
      <c r="G76" s="4" t="s">
        <v>25</v>
      </c>
      <c r="H76" s="5">
        <v>0.5</v>
      </c>
      <c r="I76" s="4">
        <f t="shared" si="6"/>
        <v>0</v>
      </c>
      <c r="J76" s="6">
        <f t="shared" si="4"/>
        <v>0</v>
      </c>
      <c r="K76" s="15">
        <f t="shared" si="7"/>
        <v>0</v>
      </c>
    </row>
    <row r="77" spans="1:11" outlineLevel="2" x14ac:dyDescent="0.3">
      <c r="A77" s="121" t="s">
        <v>181</v>
      </c>
      <c r="B77" s="123" t="s">
        <v>7</v>
      </c>
      <c r="C77" s="4">
        <v>3</v>
      </c>
      <c r="D77" s="4">
        <v>114155</v>
      </c>
      <c r="E77" s="4" t="s">
        <v>20</v>
      </c>
      <c r="F77" s="4" t="s">
        <v>156</v>
      </c>
      <c r="G77" s="4" t="s">
        <v>25</v>
      </c>
      <c r="H77" s="5">
        <v>0.5</v>
      </c>
      <c r="I77" s="4">
        <f t="shared" si="3"/>
        <v>228310</v>
      </c>
      <c r="J77" s="6">
        <f t="shared" si="4"/>
        <v>4.3800096360211989E-6</v>
      </c>
      <c r="K77" s="15">
        <f t="shared" si="5"/>
        <v>1.3140028908063597E-5</v>
      </c>
    </row>
    <row r="78" spans="1:11" outlineLevel="2" x14ac:dyDescent="0.3">
      <c r="A78" s="122"/>
      <c r="B78" s="124"/>
      <c r="C78" s="4">
        <v>3</v>
      </c>
      <c r="D78" s="4">
        <v>114155</v>
      </c>
      <c r="E78" s="4" t="s">
        <v>24</v>
      </c>
      <c r="F78" s="4" t="s">
        <v>28</v>
      </c>
      <c r="G78" s="4" t="s">
        <v>25</v>
      </c>
      <c r="H78" s="5">
        <v>0.5</v>
      </c>
      <c r="I78" s="4">
        <f t="shared" si="3"/>
        <v>0</v>
      </c>
      <c r="J78" s="6">
        <f t="shared" si="4"/>
        <v>0</v>
      </c>
      <c r="K78" s="15">
        <f t="shared" si="5"/>
        <v>0</v>
      </c>
    </row>
    <row r="79" spans="1:11" outlineLevel="2" x14ac:dyDescent="0.3">
      <c r="A79" s="121" t="s">
        <v>128</v>
      </c>
      <c r="B79" s="123" t="s">
        <v>10</v>
      </c>
      <c r="C79" s="4">
        <v>1</v>
      </c>
      <c r="D79" s="4">
        <v>1522</v>
      </c>
      <c r="E79" s="4" t="s">
        <v>50</v>
      </c>
      <c r="F79" s="4" t="s">
        <v>28</v>
      </c>
      <c r="G79" s="4" t="s">
        <v>25</v>
      </c>
      <c r="H79" s="34">
        <v>0.16700000000000001</v>
      </c>
      <c r="I79" s="4">
        <f t="shared" si="3"/>
        <v>0</v>
      </c>
      <c r="J79" s="6">
        <f t="shared" si="4"/>
        <v>0</v>
      </c>
      <c r="K79" s="15">
        <f t="shared" si="5"/>
        <v>0</v>
      </c>
    </row>
    <row r="80" spans="1:11" outlineLevel="2" x14ac:dyDescent="0.3">
      <c r="A80" s="125"/>
      <c r="B80" s="126"/>
      <c r="C80" s="4">
        <v>1</v>
      </c>
      <c r="D80" s="4">
        <v>1522</v>
      </c>
      <c r="E80" s="4" t="s">
        <v>51</v>
      </c>
      <c r="F80" s="4" t="s">
        <v>28</v>
      </c>
      <c r="G80" s="4" t="s">
        <v>25</v>
      </c>
      <c r="H80" s="34">
        <v>0.16700000000000001</v>
      </c>
      <c r="I80" s="4">
        <f t="shared" si="3"/>
        <v>0</v>
      </c>
      <c r="J80" s="6">
        <f t="shared" si="4"/>
        <v>0</v>
      </c>
      <c r="K80" s="15">
        <f t="shared" si="5"/>
        <v>0</v>
      </c>
    </row>
    <row r="81" spans="1:11" outlineLevel="2" x14ac:dyDescent="0.3">
      <c r="A81" s="125"/>
      <c r="B81" s="126"/>
      <c r="C81" s="4">
        <v>1</v>
      </c>
      <c r="D81" s="4">
        <v>1522</v>
      </c>
      <c r="E81" s="4" t="s">
        <v>52</v>
      </c>
      <c r="F81" s="4" t="s">
        <v>28</v>
      </c>
      <c r="G81" s="4" t="s">
        <v>25</v>
      </c>
      <c r="H81" s="34">
        <v>0.16700000000000001</v>
      </c>
      <c r="I81" s="4">
        <f t="shared" si="3"/>
        <v>0</v>
      </c>
      <c r="J81" s="6">
        <f t="shared" si="4"/>
        <v>0</v>
      </c>
      <c r="K81" s="15">
        <f t="shared" si="5"/>
        <v>0</v>
      </c>
    </row>
    <row r="82" spans="1:11" ht="28" outlineLevel="2" x14ac:dyDescent="0.3">
      <c r="A82" s="125"/>
      <c r="B82" s="126"/>
      <c r="C82" s="4">
        <v>1</v>
      </c>
      <c r="D82" s="4">
        <v>1522</v>
      </c>
      <c r="E82" s="4" t="s">
        <v>53</v>
      </c>
      <c r="F82" s="4" t="s">
        <v>156</v>
      </c>
      <c r="G82" s="26" t="s">
        <v>56</v>
      </c>
      <c r="H82" s="34">
        <v>0.16700000000000001</v>
      </c>
      <c r="I82" s="4">
        <f t="shared" si="3"/>
        <v>9113.7724550898201</v>
      </c>
      <c r="J82" s="6">
        <f t="shared" si="4"/>
        <v>1.0972404730617609E-4</v>
      </c>
      <c r="K82" s="15">
        <f t="shared" si="5"/>
        <v>1.0972404730617609E-4</v>
      </c>
    </row>
    <row r="83" spans="1:11" ht="28" outlineLevel="2" x14ac:dyDescent="0.3">
      <c r="A83" s="125"/>
      <c r="B83" s="126"/>
      <c r="C83" s="4">
        <v>1</v>
      </c>
      <c r="D83" s="4">
        <v>1522</v>
      </c>
      <c r="E83" s="4" t="s">
        <v>54</v>
      </c>
      <c r="F83" s="4" t="s">
        <v>156</v>
      </c>
      <c r="G83" s="26" t="s">
        <v>57</v>
      </c>
      <c r="H83" s="34">
        <v>0.16700000000000001</v>
      </c>
      <c r="I83" s="4">
        <f t="shared" si="3"/>
        <v>9113.7724550898201</v>
      </c>
      <c r="J83" s="6">
        <f t="shared" si="4"/>
        <v>1.0972404730617609E-4</v>
      </c>
      <c r="K83" s="15">
        <f t="shared" si="5"/>
        <v>1.0972404730617609E-4</v>
      </c>
    </row>
    <row r="84" spans="1:11" ht="28" outlineLevel="2" x14ac:dyDescent="0.3">
      <c r="A84" s="122"/>
      <c r="B84" s="124"/>
      <c r="C84" s="4">
        <v>1</v>
      </c>
      <c r="D84" s="4">
        <v>1522</v>
      </c>
      <c r="E84" s="4" t="s">
        <v>55</v>
      </c>
      <c r="F84" s="4" t="s">
        <v>156</v>
      </c>
      <c r="G84" s="26" t="s">
        <v>57</v>
      </c>
      <c r="H84" s="34">
        <v>0.16700000000000001</v>
      </c>
      <c r="I84" s="4">
        <f t="shared" si="3"/>
        <v>9113.7724550898201</v>
      </c>
      <c r="J84" s="6">
        <f t="shared" si="4"/>
        <v>1.0972404730617609E-4</v>
      </c>
      <c r="K84" s="15">
        <f t="shared" si="5"/>
        <v>1.0972404730617609E-4</v>
      </c>
    </row>
    <row r="85" spans="1:11" outlineLevel="2" x14ac:dyDescent="0.3">
      <c r="A85" s="121" t="s">
        <v>175</v>
      </c>
      <c r="B85" s="123" t="s">
        <v>37</v>
      </c>
      <c r="C85" s="4">
        <v>2</v>
      </c>
      <c r="D85" s="4">
        <v>6216.8</v>
      </c>
      <c r="E85" s="4" t="s">
        <v>38</v>
      </c>
      <c r="F85" s="4" t="s">
        <v>28</v>
      </c>
      <c r="G85" s="4" t="s">
        <v>47</v>
      </c>
      <c r="H85" s="34">
        <v>0.16700000000000001</v>
      </c>
      <c r="I85" s="4">
        <f t="shared" ref="I85:I110" si="8">IF(F85="yes",D85/H85,0)</f>
        <v>0</v>
      </c>
      <c r="J85" s="6">
        <f t="shared" si="4"/>
        <v>0</v>
      </c>
      <c r="K85" s="15">
        <f t="shared" ref="K85:K107" si="9">J85*C85</f>
        <v>0</v>
      </c>
    </row>
    <row r="86" spans="1:11" outlineLevel="2" x14ac:dyDescent="0.3">
      <c r="A86" s="125"/>
      <c r="B86" s="126"/>
      <c r="C86" s="4">
        <v>2</v>
      </c>
      <c r="D86" s="4">
        <v>6216.8</v>
      </c>
      <c r="E86" s="4" t="s">
        <v>39</v>
      </c>
      <c r="F86" s="4" t="s">
        <v>28</v>
      </c>
      <c r="G86" s="4" t="s">
        <v>47</v>
      </c>
      <c r="H86" s="34">
        <v>0.16700000000000001</v>
      </c>
      <c r="I86" s="4">
        <f t="shared" si="8"/>
        <v>0</v>
      </c>
      <c r="J86" s="6">
        <f t="shared" si="4"/>
        <v>0</v>
      </c>
      <c r="K86" s="15">
        <f t="shared" si="9"/>
        <v>0</v>
      </c>
    </row>
    <row r="87" spans="1:11" outlineLevel="2" x14ac:dyDescent="0.3">
      <c r="A87" s="125"/>
      <c r="B87" s="126"/>
      <c r="C87" s="4">
        <v>2</v>
      </c>
      <c r="D87" s="4">
        <v>6216.8</v>
      </c>
      <c r="E87" s="4" t="s">
        <v>40</v>
      </c>
      <c r="F87" s="4" t="s">
        <v>28</v>
      </c>
      <c r="G87" s="4" t="s">
        <v>47</v>
      </c>
      <c r="H87" s="34">
        <v>0.16700000000000001</v>
      </c>
      <c r="I87" s="4">
        <f t="shared" si="8"/>
        <v>0</v>
      </c>
      <c r="J87" s="6">
        <f t="shared" si="4"/>
        <v>0</v>
      </c>
      <c r="K87" s="15">
        <f t="shared" si="9"/>
        <v>0</v>
      </c>
    </row>
    <row r="88" spans="1:11" ht="28" outlineLevel="2" x14ac:dyDescent="0.3">
      <c r="A88" s="125"/>
      <c r="B88" s="126"/>
      <c r="C88" s="4">
        <v>2</v>
      </c>
      <c r="D88" s="4">
        <v>6216.8</v>
      </c>
      <c r="E88" s="4" t="s">
        <v>41</v>
      </c>
      <c r="F88" s="4" t="s">
        <v>27</v>
      </c>
      <c r="G88" s="26" t="s">
        <v>59</v>
      </c>
      <c r="H88" s="34">
        <v>0.16700000000000001</v>
      </c>
      <c r="I88" s="4">
        <f t="shared" si="8"/>
        <v>37226.347305389223</v>
      </c>
      <c r="J88" s="6">
        <f t="shared" si="4"/>
        <v>2.6862694633895249E-5</v>
      </c>
      <c r="K88" s="15">
        <f t="shared" si="9"/>
        <v>5.3725389267790499E-5</v>
      </c>
    </row>
    <row r="89" spans="1:11" outlineLevel="2" x14ac:dyDescent="0.3">
      <c r="A89" s="125"/>
      <c r="B89" s="126"/>
      <c r="C89" s="4">
        <v>2</v>
      </c>
      <c r="D89" s="4">
        <v>6216.8</v>
      </c>
      <c r="E89" s="4" t="s">
        <v>42</v>
      </c>
      <c r="F89" s="4" t="s">
        <v>28</v>
      </c>
      <c r="G89" s="4" t="s">
        <v>47</v>
      </c>
      <c r="H89" s="34">
        <v>0.16700000000000001</v>
      </c>
      <c r="I89" s="4">
        <f t="shared" si="8"/>
        <v>0</v>
      </c>
      <c r="J89" s="6">
        <f t="shared" si="4"/>
        <v>0</v>
      </c>
      <c r="K89" s="15">
        <f t="shared" si="9"/>
        <v>0</v>
      </c>
    </row>
    <row r="90" spans="1:11" outlineLevel="2" x14ac:dyDescent="0.3">
      <c r="A90" s="122"/>
      <c r="B90" s="124"/>
      <c r="C90" s="4">
        <v>2</v>
      </c>
      <c r="D90" s="4">
        <v>6216.8</v>
      </c>
      <c r="E90" s="4" t="s">
        <v>43</v>
      </c>
      <c r="F90" s="4" t="s">
        <v>28</v>
      </c>
      <c r="G90" s="4" t="s">
        <v>47</v>
      </c>
      <c r="H90" s="34">
        <v>0.16700000000000001</v>
      </c>
      <c r="I90" s="4">
        <f t="shared" si="8"/>
        <v>0</v>
      </c>
      <c r="J90" s="6">
        <f t="shared" si="4"/>
        <v>0</v>
      </c>
      <c r="K90" s="15">
        <f t="shared" si="9"/>
        <v>0</v>
      </c>
    </row>
    <row r="91" spans="1:11" outlineLevel="2" x14ac:dyDescent="0.3">
      <c r="A91" s="121" t="s">
        <v>189</v>
      </c>
      <c r="B91" s="123" t="s">
        <v>37</v>
      </c>
      <c r="C91" s="4">
        <v>1</v>
      </c>
      <c r="D91" s="4">
        <v>1903</v>
      </c>
      <c r="E91" s="4" t="s">
        <v>38</v>
      </c>
      <c r="F91" s="4" t="s">
        <v>28</v>
      </c>
      <c r="G91" s="4" t="s">
        <v>47</v>
      </c>
      <c r="H91" s="34">
        <v>0.16700000000000001</v>
      </c>
      <c r="I91" s="4">
        <f t="shared" si="8"/>
        <v>0</v>
      </c>
      <c r="J91" s="6">
        <f t="shared" si="4"/>
        <v>0</v>
      </c>
      <c r="K91" s="15">
        <f t="shared" si="9"/>
        <v>0</v>
      </c>
    </row>
    <row r="92" spans="1:11" outlineLevel="2" x14ac:dyDescent="0.3">
      <c r="A92" s="125"/>
      <c r="B92" s="126"/>
      <c r="C92" s="4">
        <v>1</v>
      </c>
      <c r="D92" s="4">
        <v>1903</v>
      </c>
      <c r="E92" s="4" t="s">
        <v>39</v>
      </c>
      <c r="F92" s="4" t="s">
        <v>28</v>
      </c>
      <c r="G92" s="4" t="s">
        <v>47</v>
      </c>
      <c r="H92" s="34">
        <v>0.16700000000000001</v>
      </c>
      <c r="I92" s="4">
        <f t="shared" si="8"/>
        <v>0</v>
      </c>
      <c r="J92" s="6">
        <f t="shared" si="4"/>
        <v>0</v>
      </c>
      <c r="K92" s="15">
        <f t="shared" si="9"/>
        <v>0</v>
      </c>
    </row>
    <row r="93" spans="1:11" outlineLevel="2" x14ac:dyDescent="0.3">
      <c r="A93" s="125"/>
      <c r="B93" s="126"/>
      <c r="C93" s="4">
        <v>1</v>
      </c>
      <c r="D93" s="4">
        <v>1903</v>
      </c>
      <c r="E93" s="4" t="s">
        <v>40</v>
      </c>
      <c r="F93" s="4" t="s">
        <v>28</v>
      </c>
      <c r="G93" s="4" t="s">
        <v>47</v>
      </c>
      <c r="H93" s="34">
        <v>0.16700000000000001</v>
      </c>
      <c r="I93" s="4">
        <f t="shared" si="8"/>
        <v>0</v>
      </c>
      <c r="J93" s="6">
        <f t="shared" si="4"/>
        <v>0</v>
      </c>
      <c r="K93" s="15">
        <f t="shared" si="9"/>
        <v>0</v>
      </c>
    </row>
    <row r="94" spans="1:11" outlineLevel="2" x14ac:dyDescent="0.3">
      <c r="A94" s="125"/>
      <c r="B94" s="126"/>
      <c r="C94" s="4">
        <v>1</v>
      </c>
      <c r="D94" s="4">
        <v>1903</v>
      </c>
      <c r="E94" s="4" t="s">
        <v>41</v>
      </c>
      <c r="F94" s="4" t="s">
        <v>27</v>
      </c>
      <c r="G94" s="4" t="s">
        <v>47</v>
      </c>
      <c r="H94" s="34">
        <v>0.16700000000000001</v>
      </c>
      <c r="I94" s="4">
        <f t="shared" si="8"/>
        <v>11395.209580838322</v>
      </c>
      <c r="J94" s="6">
        <f t="shared" si="4"/>
        <v>8.7756174461376787E-5</v>
      </c>
      <c r="K94" s="15">
        <f t="shared" si="9"/>
        <v>8.7756174461376787E-5</v>
      </c>
    </row>
    <row r="95" spans="1:11" outlineLevel="2" x14ac:dyDescent="0.3">
      <c r="A95" s="125"/>
      <c r="B95" s="126"/>
      <c r="C95" s="4">
        <v>1</v>
      </c>
      <c r="D95" s="4">
        <v>1903</v>
      </c>
      <c r="E95" s="4" t="s">
        <v>42</v>
      </c>
      <c r="F95" s="4" t="s">
        <v>28</v>
      </c>
      <c r="G95" s="4" t="s">
        <v>47</v>
      </c>
      <c r="H95" s="34">
        <v>0.16700000000000001</v>
      </c>
      <c r="I95" s="4">
        <f t="shared" si="8"/>
        <v>0</v>
      </c>
      <c r="J95" s="6">
        <f t="shared" si="4"/>
        <v>0</v>
      </c>
      <c r="K95" s="15">
        <f t="shared" si="9"/>
        <v>0</v>
      </c>
    </row>
    <row r="96" spans="1:11" outlineLevel="2" x14ac:dyDescent="0.3">
      <c r="A96" s="122"/>
      <c r="B96" s="124"/>
      <c r="C96" s="4">
        <v>1</v>
      </c>
      <c r="D96" s="4">
        <v>1903</v>
      </c>
      <c r="E96" s="4" t="s">
        <v>43</v>
      </c>
      <c r="F96" s="4" t="s">
        <v>28</v>
      </c>
      <c r="G96" s="4" t="s">
        <v>47</v>
      </c>
      <c r="H96" s="34">
        <v>0.16700000000000001</v>
      </c>
      <c r="I96" s="4">
        <f t="shared" si="8"/>
        <v>0</v>
      </c>
      <c r="J96" s="6">
        <f t="shared" si="4"/>
        <v>0</v>
      </c>
      <c r="K96" s="15">
        <f t="shared" si="9"/>
        <v>0</v>
      </c>
    </row>
    <row r="97" spans="1:11" outlineLevel="2" x14ac:dyDescent="0.3">
      <c r="A97" s="121" t="s">
        <v>121</v>
      </c>
      <c r="B97" s="123" t="s">
        <v>49</v>
      </c>
      <c r="C97" s="4">
        <v>1</v>
      </c>
      <c r="D97" s="4">
        <v>114155</v>
      </c>
      <c r="E97" s="4" t="s">
        <v>20</v>
      </c>
      <c r="F97" s="4" t="s">
        <v>28</v>
      </c>
      <c r="G97" s="4" t="s">
        <v>25</v>
      </c>
      <c r="H97" s="5">
        <v>0.5</v>
      </c>
      <c r="I97" s="4">
        <f t="shared" si="8"/>
        <v>0</v>
      </c>
      <c r="J97" s="6">
        <f t="shared" si="4"/>
        <v>0</v>
      </c>
      <c r="K97" s="15">
        <f t="shared" si="9"/>
        <v>0</v>
      </c>
    </row>
    <row r="98" spans="1:11" outlineLevel="2" x14ac:dyDescent="0.3">
      <c r="A98" s="122"/>
      <c r="B98" s="124"/>
      <c r="C98" s="4">
        <v>1</v>
      </c>
      <c r="D98" s="4">
        <v>114155</v>
      </c>
      <c r="E98" s="4" t="s">
        <v>29</v>
      </c>
      <c r="F98" s="4" t="s">
        <v>27</v>
      </c>
      <c r="G98" s="4" t="s">
        <v>47</v>
      </c>
      <c r="H98" s="5">
        <v>0.5</v>
      </c>
      <c r="I98" s="4">
        <f t="shared" si="8"/>
        <v>228310</v>
      </c>
      <c r="J98" s="6">
        <f t="shared" si="4"/>
        <v>4.3800096360211989E-6</v>
      </c>
      <c r="K98" s="15">
        <f t="shared" si="9"/>
        <v>4.3800096360211989E-6</v>
      </c>
    </row>
    <row r="99" spans="1:11" outlineLevel="2" x14ac:dyDescent="0.3">
      <c r="A99" s="121" t="s">
        <v>190</v>
      </c>
      <c r="B99" s="123" t="s">
        <v>191</v>
      </c>
      <c r="C99" s="4">
        <v>1</v>
      </c>
      <c r="D99" s="4">
        <v>16308</v>
      </c>
      <c r="E99" s="4" t="s">
        <v>20</v>
      </c>
      <c r="F99" s="4" t="s">
        <v>28</v>
      </c>
      <c r="G99" s="4" t="s">
        <v>25</v>
      </c>
      <c r="H99" s="5">
        <v>0.5</v>
      </c>
      <c r="I99" s="4">
        <f t="shared" si="8"/>
        <v>0</v>
      </c>
      <c r="J99" s="6">
        <f t="shared" si="4"/>
        <v>0</v>
      </c>
      <c r="K99" s="15">
        <f t="shared" si="9"/>
        <v>0</v>
      </c>
    </row>
    <row r="100" spans="1:11" outlineLevel="2" x14ac:dyDescent="0.3">
      <c r="A100" s="122"/>
      <c r="B100" s="124"/>
      <c r="C100" s="4">
        <v>1</v>
      </c>
      <c r="D100" s="4">
        <v>16308</v>
      </c>
      <c r="E100" s="4" t="s">
        <v>29</v>
      </c>
      <c r="F100" s="4" t="s">
        <v>27</v>
      </c>
      <c r="G100" s="4" t="s">
        <v>47</v>
      </c>
      <c r="H100" s="5">
        <v>0.5</v>
      </c>
      <c r="I100" s="4">
        <f t="shared" si="8"/>
        <v>32616</v>
      </c>
      <c r="J100" s="6">
        <f t="shared" si="4"/>
        <v>3.0659798871719399E-5</v>
      </c>
      <c r="K100" s="15">
        <f t="shared" si="9"/>
        <v>3.0659798871719399E-5</v>
      </c>
    </row>
    <row r="101" spans="1:11" outlineLevel="2" x14ac:dyDescent="0.3">
      <c r="A101" s="121" t="s">
        <v>196</v>
      </c>
      <c r="B101" s="123" t="s">
        <v>191</v>
      </c>
      <c r="C101" s="4">
        <v>1</v>
      </c>
      <c r="D101" s="4">
        <v>16308</v>
      </c>
      <c r="E101" s="4" t="s">
        <v>20</v>
      </c>
      <c r="F101" s="4" t="s">
        <v>28</v>
      </c>
      <c r="G101" s="4" t="s">
        <v>25</v>
      </c>
      <c r="H101" s="5">
        <v>0.5</v>
      </c>
      <c r="I101" s="4">
        <f t="shared" si="8"/>
        <v>0</v>
      </c>
      <c r="J101" s="6">
        <f t="shared" si="4"/>
        <v>0</v>
      </c>
      <c r="K101" s="15">
        <f t="shared" si="9"/>
        <v>0</v>
      </c>
    </row>
    <row r="102" spans="1:11" outlineLevel="2" x14ac:dyDescent="0.3">
      <c r="A102" s="122"/>
      <c r="B102" s="124"/>
      <c r="C102" s="4">
        <v>1</v>
      </c>
      <c r="D102" s="4">
        <v>16308</v>
      </c>
      <c r="E102" s="4" t="s">
        <v>29</v>
      </c>
      <c r="F102" s="4" t="s">
        <v>27</v>
      </c>
      <c r="G102" s="4" t="s">
        <v>47</v>
      </c>
      <c r="H102" s="5">
        <v>0.5</v>
      </c>
      <c r="I102" s="4">
        <f t="shared" si="8"/>
        <v>32616</v>
      </c>
      <c r="J102" s="6">
        <f t="shared" si="4"/>
        <v>3.0659798871719399E-5</v>
      </c>
      <c r="K102" s="15">
        <f t="shared" si="9"/>
        <v>3.0659798871719399E-5</v>
      </c>
    </row>
    <row r="103" spans="1:11" outlineLevel="2" x14ac:dyDescent="0.3">
      <c r="A103" s="121" t="s">
        <v>192</v>
      </c>
      <c r="B103" s="123" t="s">
        <v>7</v>
      </c>
      <c r="C103" s="4">
        <v>3</v>
      </c>
      <c r="D103" s="4">
        <v>114155</v>
      </c>
      <c r="E103" s="4" t="s">
        <v>20</v>
      </c>
      <c r="F103" s="4" t="s">
        <v>28</v>
      </c>
      <c r="G103" s="4" t="s">
        <v>25</v>
      </c>
      <c r="H103" s="5">
        <v>0.5</v>
      </c>
      <c r="I103" s="4">
        <f t="shared" si="8"/>
        <v>0</v>
      </c>
      <c r="J103" s="6">
        <f t="shared" si="4"/>
        <v>0</v>
      </c>
      <c r="K103" s="15">
        <f t="shared" si="9"/>
        <v>0</v>
      </c>
    </row>
    <row r="104" spans="1:11" outlineLevel="2" x14ac:dyDescent="0.3">
      <c r="A104" s="122"/>
      <c r="B104" s="124"/>
      <c r="C104" s="4">
        <v>3</v>
      </c>
      <c r="D104" s="4">
        <v>114155</v>
      </c>
      <c r="E104" s="4" t="s">
        <v>24</v>
      </c>
      <c r="F104" s="4" t="s">
        <v>28</v>
      </c>
      <c r="G104" s="4" t="s">
        <v>25</v>
      </c>
      <c r="H104" s="5">
        <v>0.5</v>
      </c>
      <c r="I104" s="4">
        <f t="shared" si="8"/>
        <v>0</v>
      </c>
      <c r="J104" s="6">
        <f t="shared" si="4"/>
        <v>0</v>
      </c>
      <c r="K104" s="15">
        <f t="shared" si="9"/>
        <v>0</v>
      </c>
    </row>
    <row r="105" spans="1:11" outlineLevel="2" x14ac:dyDescent="0.3">
      <c r="A105" s="121" t="s">
        <v>193</v>
      </c>
      <c r="B105" s="123" t="s">
        <v>7</v>
      </c>
      <c r="C105" s="4">
        <v>5</v>
      </c>
      <c r="D105" s="4">
        <v>114155</v>
      </c>
      <c r="E105" s="4" t="s">
        <v>20</v>
      </c>
      <c r="F105" s="4" t="s">
        <v>27</v>
      </c>
      <c r="G105" s="4" t="s">
        <v>47</v>
      </c>
      <c r="H105" s="5">
        <v>0.7</v>
      </c>
      <c r="I105" s="4">
        <f t="shared" si="8"/>
        <v>163078.57142857145</v>
      </c>
      <c r="J105" s="6">
        <f t="shared" si="4"/>
        <v>6.1320134904296781E-6</v>
      </c>
      <c r="K105" s="15">
        <f t="shared" si="9"/>
        <v>3.0660067452148394E-5</v>
      </c>
    </row>
    <row r="106" spans="1:11" outlineLevel="2" x14ac:dyDescent="0.3">
      <c r="A106" s="122"/>
      <c r="B106" s="124"/>
      <c r="C106" s="4">
        <v>5</v>
      </c>
      <c r="D106" s="4">
        <v>114155</v>
      </c>
      <c r="E106" s="4" t="s">
        <v>24</v>
      </c>
      <c r="F106" s="4" t="s">
        <v>28</v>
      </c>
      <c r="G106" s="4" t="s">
        <v>25</v>
      </c>
      <c r="H106" s="5">
        <v>0.3</v>
      </c>
      <c r="I106" s="4">
        <f t="shared" si="8"/>
        <v>0</v>
      </c>
      <c r="J106" s="6">
        <f t="shared" si="4"/>
        <v>0</v>
      </c>
      <c r="K106" s="15">
        <f t="shared" si="9"/>
        <v>0</v>
      </c>
    </row>
    <row r="107" spans="1:11" ht="28" outlineLevel="2" x14ac:dyDescent="0.3">
      <c r="A107" s="121" t="s">
        <v>194</v>
      </c>
      <c r="B107" s="123" t="s">
        <v>9</v>
      </c>
      <c r="C107" s="4">
        <v>2</v>
      </c>
      <c r="D107" s="4">
        <v>114155</v>
      </c>
      <c r="E107" s="4" t="s">
        <v>20</v>
      </c>
      <c r="F107" s="4" t="s">
        <v>28</v>
      </c>
      <c r="G107" s="26" t="s">
        <v>58</v>
      </c>
      <c r="H107" s="5">
        <v>0.5</v>
      </c>
      <c r="I107" s="8">
        <f t="shared" si="8"/>
        <v>0</v>
      </c>
      <c r="J107" s="9">
        <f t="shared" si="4"/>
        <v>0</v>
      </c>
      <c r="K107" s="17">
        <f t="shared" si="9"/>
        <v>0</v>
      </c>
    </row>
    <row r="108" spans="1:11" outlineLevel="2" x14ac:dyDescent="0.3">
      <c r="A108" s="122"/>
      <c r="B108" s="124"/>
      <c r="C108" s="4">
        <v>2</v>
      </c>
      <c r="D108" s="4">
        <v>114155</v>
      </c>
      <c r="E108" s="4" t="s">
        <v>29</v>
      </c>
      <c r="F108" s="4" t="s">
        <v>28</v>
      </c>
      <c r="G108" s="4" t="s">
        <v>25</v>
      </c>
      <c r="H108" s="5">
        <v>0.5</v>
      </c>
      <c r="I108" s="8">
        <f t="shared" si="8"/>
        <v>0</v>
      </c>
      <c r="J108" s="9">
        <f t="shared" si="4"/>
        <v>0</v>
      </c>
      <c r="K108" s="17">
        <f>J108*C108</f>
        <v>0</v>
      </c>
    </row>
    <row r="109" spans="1:11" outlineLevel="2" x14ac:dyDescent="0.3">
      <c r="A109" s="121" t="s">
        <v>195</v>
      </c>
      <c r="B109" s="123" t="s">
        <v>8</v>
      </c>
      <c r="C109" s="4">
        <v>4</v>
      </c>
      <c r="D109" s="28">
        <v>22831</v>
      </c>
      <c r="E109" s="4" t="s">
        <v>20</v>
      </c>
      <c r="F109" s="4" t="s">
        <v>28</v>
      </c>
      <c r="G109" s="4" t="s">
        <v>25</v>
      </c>
      <c r="H109" s="5">
        <v>0.5</v>
      </c>
      <c r="I109" s="4">
        <f t="shared" si="8"/>
        <v>0</v>
      </c>
      <c r="J109" s="6">
        <f t="shared" si="4"/>
        <v>0</v>
      </c>
      <c r="K109" s="15">
        <f>J109*C109</f>
        <v>0</v>
      </c>
    </row>
    <row r="110" spans="1:11" outlineLevel="2" x14ac:dyDescent="0.3">
      <c r="A110" s="122"/>
      <c r="B110" s="124"/>
      <c r="C110" s="4">
        <v>4</v>
      </c>
      <c r="D110" s="28">
        <v>22831</v>
      </c>
      <c r="E110" s="4" t="s">
        <v>29</v>
      </c>
      <c r="F110" s="4" t="s">
        <v>28</v>
      </c>
      <c r="G110" s="4" t="s">
        <v>25</v>
      </c>
      <c r="H110" s="5">
        <v>0.5</v>
      </c>
      <c r="I110" s="4">
        <f t="shared" si="8"/>
        <v>0</v>
      </c>
      <c r="J110" s="6">
        <f t="shared" si="4"/>
        <v>0</v>
      </c>
      <c r="K110" s="15">
        <f>J110*C110</f>
        <v>0</v>
      </c>
    </row>
    <row r="111" spans="1:11" ht="14.5" outlineLevel="2" thickBot="1" x14ac:dyDescent="0.35">
      <c r="A111" s="18"/>
      <c r="B111" s="19"/>
      <c r="C111" s="19"/>
      <c r="D111" s="19"/>
      <c r="E111" s="19"/>
      <c r="F111" s="19"/>
      <c r="G111" s="19"/>
      <c r="H111" s="20"/>
      <c r="I111" s="20"/>
      <c r="J111" s="20"/>
      <c r="K111" s="21">
        <f>1/SUM(K55:K110)</f>
        <v>1565.1549509065685</v>
      </c>
    </row>
    <row r="112" spans="1:11" ht="17.5" outlineLevel="1" x14ac:dyDescent="0.35">
      <c r="A112" s="133" t="s">
        <v>17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5"/>
    </row>
    <row r="113" spans="1:11" outlineLevel="1" x14ac:dyDescent="0.3">
      <c r="A113" s="42" t="s">
        <v>13</v>
      </c>
      <c r="B113" s="35" t="s">
        <v>4</v>
      </c>
      <c r="C113" s="35" t="s">
        <v>5</v>
      </c>
      <c r="D113" s="35" t="s">
        <v>12</v>
      </c>
      <c r="E113" s="35" t="s">
        <v>19</v>
      </c>
      <c r="F113" s="35" t="s">
        <v>26</v>
      </c>
      <c r="G113" s="35" t="s">
        <v>21</v>
      </c>
      <c r="H113" s="35" t="s">
        <v>6</v>
      </c>
      <c r="I113" s="35" t="s">
        <v>14</v>
      </c>
      <c r="J113" s="35" t="s">
        <v>15</v>
      </c>
      <c r="K113" s="43" t="s">
        <v>16</v>
      </c>
    </row>
    <row r="114" spans="1:11" ht="56" outlineLevel="1" x14ac:dyDescent="0.3">
      <c r="A114" s="119" t="s">
        <v>281</v>
      </c>
      <c r="B114" s="139" t="s">
        <v>7</v>
      </c>
      <c r="C114" s="41">
        <v>6</v>
      </c>
      <c r="D114" s="41">
        <v>114155</v>
      </c>
      <c r="E114" s="41" t="s">
        <v>20</v>
      </c>
      <c r="F114" s="41" t="s">
        <v>28</v>
      </c>
      <c r="G114" s="41" t="s">
        <v>284</v>
      </c>
      <c r="H114" s="44">
        <v>0.7</v>
      </c>
      <c r="I114" s="35">
        <f t="shared" ref="I114:I127" si="10">IF(F114="yes",D114/H114,0)</f>
        <v>0</v>
      </c>
      <c r="J114" s="45">
        <f t="shared" ref="J114:J127" si="11">IF(I114= 0,0,1/I114)</f>
        <v>0</v>
      </c>
      <c r="K114" s="45">
        <f t="shared" ref="K114:K127" si="12">J114*C114</f>
        <v>0</v>
      </c>
    </row>
    <row r="115" spans="1:11" outlineLevel="1" x14ac:dyDescent="0.3">
      <c r="A115" s="120"/>
      <c r="B115" s="140"/>
      <c r="C115" s="41">
        <v>6</v>
      </c>
      <c r="D115" s="41">
        <v>114155</v>
      </c>
      <c r="E115" s="41" t="s">
        <v>24</v>
      </c>
      <c r="F115" s="41" t="s">
        <v>28</v>
      </c>
      <c r="G115" s="41" t="s">
        <v>25</v>
      </c>
      <c r="H115" s="44">
        <v>0.3</v>
      </c>
      <c r="I115" s="35">
        <f t="shared" si="10"/>
        <v>0</v>
      </c>
      <c r="J115" s="45">
        <f t="shared" si="11"/>
        <v>0</v>
      </c>
      <c r="K115" s="45">
        <f t="shared" si="12"/>
        <v>0</v>
      </c>
    </row>
    <row r="116" spans="1:11" ht="42" outlineLevel="1" x14ac:dyDescent="0.3">
      <c r="A116" s="119" t="s">
        <v>289</v>
      </c>
      <c r="B116" s="139" t="s">
        <v>7</v>
      </c>
      <c r="C116" s="41">
        <v>4</v>
      </c>
      <c r="D116" s="41">
        <v>114155</v>
      </c>
      <c r="E116" s="41" t="s">
        <v>20</v>
      </c>
      <c r="F116" s="1" t="s">
        <v>27</v>
      </c>
      <c r="G116" s="41" t="s">
        <v>283</v>
      </c>
      <c r="H116" s="44">
        <v>0.7</v>
      </c>
      <c r="I116" s="35">
        <f t="shared" si="10"/>
        <v>163078.57142857145</v>
      </c>
      <c r="J116" s="45">
        <f t="shared" si="11"/>
        <v>6.1320134904296781E-6</v>
      </c>
      <c r="K116" s="45">
        <f t="shared" si="12"/>
        <v>2.4528053961718713E-5</v>
      </c>
    </row>
    <row r="117" spans="1:11" ht="42" outlineLevel="1" x14ac:dyDescent="0.3">
      <c r="A117" s="120"/>
      <c r="B117" s="140"/>
      <c r="C117" s="41">
        <v>4</v>
      </c>
      <c r="D117" s="41">
        <v>114155</v>
      </c>
      <c r="E117" s="41" t="s">
        <v>24</v>
      </c>
      <c r="F117" s="1" t="s">
        <v>27</v>
      </c>
      <c r="G117" s="41" t="s">
        <v>282</v>
      </c>
      <c r="H117" s="44">
        <v>0.3</v>
      </c>
      <c r="I117" s="35">
        <f t="shared" si="10"/>
        <v>380516.66666666669</v>
      </c>
      <c r="J117" s="45">
        <f t="shared" si="11"/>
        <v>2.6280057816127193E-6</v>
      </c>
      <c r="K117" s="45">
        <f t="shared" si="12"/>
        <v>1.0512023126450877E-5</v>
      </c>
    </row>
    <row r="118" spans="1:11" ht="56" outlineLevel="1" x14ac:dyDescent="0.3">
      <c r="A118" s="119" t="s">
        <v>287</v>
      </c>
      <c r="B118" s="139" t="s">
        <v>9</v>
      </c>
      <c r="C118" s="35">
        <v>1</v>
      </c>
      <c r="D118" s="35">
        <v>114155</v>
      </c>
      <c r="E118" s="35" t="s">
        <v>20</v>
      </c>
      <c r="F118" s="1" t="s">
        <v>27</v>
      </c>
      <c r="G118" s="41" t="s">
        <v>284</v>
      </c>
      <c r="H118" s="44">
        <v>0.5</v>
      </c>
      <c r="I118" s="35">
        <f t="shared" si="10"/>
        <v>228310</v>
      </c>
      <c r="J118" s="45">
        <f t="shared" si="11"/>
        <v>4.3800096360211989E-6</v>
      </c>
      <c r="K118" s="45">
        <f t="shared" si="12"/>
        <v>4.3800096360211989E-6</v>
      </c>
    </row>
    <row r="119" spans="1:11" outlineLevel="1" x14ac:dyDescent="0.3">
      <c r="A119" s="120"/>
      <c r="B119" s="140"/>
      <c r="C119" s="35">
        <v>1</v>
      </c>
      <c r="D119" s="35">
        <v>114155</v>
      </c>
      <c r="E119" s="35" t="s">
        <v>29</v>
      </c>
      <c r="F119" s="35" t="s">
        <v>28</v>
      </c>
      <c r="G119" s="35" t="s">
        <v>25</v>
      </c>
      <c r="H119" s="44">
        <v>0.5</v>
      </c>
      <c r="I119" s="35">
        <f t="shared" si="10"/>
        <v>0</v>
      </c>
      <c r="J119" s="45">
        <f t="shared" si="11"/>
        <v>0</v>
      </c>
      <c r="K119" s="45">
        <f t="shared" si="12"/>
        <v>0</v>
      </c>
    </row>
    <row r="120" spans="1:11" ht="56" outlineLevel="1" x14ac:dyDescent="0.3">
      <c r="A120" s="119" t="s">
        <v>288</v>
      </c>
      <c r="B120" s="139" t="s">
        <v>8</v>
      </c>
      <c r="C120" s="35">
        <v>1</v>
      </c>
      <c r="D120" s="35">
        <v>22831</v>
      </c>
      <c r="E120" s="35" t="s">
        <v>20</v>
      </c>
      <c r="F120" s="1" t="s">
        <v>27</v>
      </c>
      <c r="G120" s="41" t="s">
        <v>284</v>
      </c>
      <c r="H120" s="44">
        <v>0.5</v>
      </c>
      <c r="I120" s="35">
        <f t="shared" si="10"/>
        <v>45662</v>
      </c>
      <c r="J120" s="45">
        <f t="shared" si="11"/>
        <v>2.1900048180105996E-5</v>
      </c>
      <c r="K120" s="45">
        <f t="shared" si="12"/>
        <v>2.1900048180105996E-5</v>
      </c>
    </row>
    <row r="121" spans="1:11" outlineLevel="1" x14ac:dyDescent="0.3">
      <c r="A121" s="120"/>
      <c r="B121" s="140"/>
      <c r="C121" s="35">
        <v>1</v>
      </c>
      <c r="D121" s="35">
        <v>22831</v>
      </c>
      <c r="E121" s="35" t="s">
        <v>29</v>
      </c>
      <c r="F121" s="35" t="s">
        <v>28</v>
      </c>
      <c r="G121" s="35" t="s">
        <v>25</v>
      </c>
      <c r="H121" s="44">
        <v>0.5</v>
      </c>
      <c r="I121" s="35">
        <f t="shared" si="10"/>
        <v>0</v>
      </c>
      <c r="J121" s="45">
        <f t="shared" si="11"/>
        <v>0</v>
      </c>
      <c r="K121" s="45">
        <f t="shared" si="12"/>
        <v>0</v>
      </c>
    </row>
    <row r="122" spans="1:11" ht="56" outlineLevel="1" x14ac:dyDescent="0.3">
      <c r="A122" s="101" t="s">
        <v>280</v>
      </c>
      <c r="B122" s="103" t="s">
        <v>10</v>
      </c>
      <c r="C122" s="1">
        <v>1</v>
      </c>
      <c r="D122" s="1">
        <v>1522</v>
      </c>
      <c r="E122" s="1" t="s">
        <v>50</v>
      </c>
      <c r="F122" s="1" t="s">
        <v>27</v>
      </c>
      <c r="G122" s="35" t="s">
        <v>285</v>
      </c>
      <c r="H122" s="64">
        <v>0.16700000000000001</v>
      </c>
      <c r="I122" s="1">
        <f t="shared" si="10"/>
        <v>9113.7724550898201</v>
      </c>
      <c r="J122" s="65">
        <f t="shared" si="11"/>
        <v>1.0972404730617609E-4</v>
      </c>
      <c r="K122" s="66">
        <f t="shared" si="12"/>
        <v>1.0972404730617609E-4</v>
      </c>
    </row>
    <row r="123" spans="1:11" ht="56" outlineLevel="1" x14ac:dyDescent="0.3">
      <c r="A123" s="115"/>
      <c r="B123" s="114"/>
      <c r="C123" s="1">
        <v>1</v>
      </c>
      <c r="D123" s="1">
        <v>1522</v>
      </c>
      <c r="E123" s="1" t="s">
        <v>51</v>
      </c>
      <c r="F123" s="1" t="s">
        <v>27</v>
      </c>
      <c r="G123" s="35" t="s">
        <v>285</v>
      </c>
      <c r="H123" s="64">
        <v>0.16700000000000001</v>
      </c>
      <c r="I123" s="1">
        <f t="shared" si="10"/>
        <v>9113.7724550898201</v>
      </c>
      <c r="J123" s="65">
        <f t="shared" si="11"/>
        <v>1.0972404730617609E-4</v>
      </c>
      <c r="K123" s="66">
        <f t="shared" si="12"/>
        <v>1.0972404730617609E-4</v>
      </c>
    </row>
    <row r="124" spans="1:11" ht="56" outlineLevel="1" x14ac:dyDescent="0.3">
      <c r="A124" s="115"/>
      <c r="B124" s="114"/>
      <c r="C124" s="1">
        <v>1</v>
      </c>
      <c r="D124" s="1">
        <v>1522</v>
      </c>
      <c r="E124" s="1" t="s">
        <v>52</v>
      </c>
      <c r="F124" s="1" t="s">
        <v>27</v>
      </c>
      <c r="G124" s="35" t="s">
        <v>285</v>
      </c>
      <c r="H124" s="64">
        <v>0.16700000000000001</v>
      </c>
      <c r="I124" s="1">
        <f t="shared" si="10"/>
        <v>9113.7724550898201</v>
      </c>
      <c r="J124" s="65">
        <f t="shared" si="11"/>
        <v>1.0972404730617609E-4</v>
      </c>
      <c r="K124" s="66">
        <f t="shared" si="12"/>
        <v>1.0972404730617609E-4</v>
      </c>
    </row>
    <row r="125" spans="1:11" outlineLevel="1" x14ac:dyDescent="0.3">
      <c r="A125" s="115"/>
      <c r="B125" s="114"/>
      <c r="C125" s="1">
        <v>1</v>
      </c>
      <c r="D125" s="1">
        <v>1522</v>
      </c>
      <c r="E125" s="1" t="s">
        <v>53</v>
      </c>
      <c r="F125" s="1" t="s">
        <v>28</v>
      </c>
      <c r="G125" s="35" t="s">
        <v>129</v>
      </c>
      <c r="H125" s="64">
        <v>0.16700000000000001</v>
      </c>
      <c r="I125" s="1">
        <f t="shared" si="10"/>
        <v>0</v>
      </c>
      <c r="J125" s="65">
        <f t="shared" si="11"/>
        <v>0</v>
      </c>
      <c r="K125" s="66">
        <f t="shared" si="12"/>
        <v>0</v>
      </c>
    </row>
    <row r="126" spans="1:11" outlineLevel="1" x14ac:dyDescent="0.3">
      <c r="A126" s="115"/>
      <c r="B126" s="114"/>
      <c r="C126" s="1">
        <v>1</v>
      </c>
      <c r="D126" s="1">
        <v>1522</v>
      </c>
      <c r="E126" s="1" t="s">
        <v>54</v>
      </c>
      <c r="F126" s="1" t="s">
        <v>28</v>
      </c>
      <c r="G126" s="35" t="s">
        <v>127</v>
      </c>
      <c r="H126" s="64">
        <v>0.16700000000000001</v>
      </c>
      <c r="I126" s="1">
        <f t="shared" si="10"/>
        <v>0</v>
      </c>
      <c r="J126" s="65">
        <f t="shared" si="11"/>
        <v>0</v>
      </c>
      <c r="K126" s="66">
        <f t="shared" si="12"/>
        <v>0</v>
      </c>
    </row>
    <row r="127" spans="1:11" outlineLevel="1" x14ac:dyDescent="0.3">
      <c r="A127" s="102"/>
      <c r="B127" s="104"/>
      <c r="C127" s="1">
        <v>1</v>
      </c>
      <c r="D127" s="1">
        <v>1522</v>
      </c>
      <c r="E127" s="1" t="s">
        <v>55</v>
      </c>
      <c r="F127" s="1" t="s">
        <v>28</v>
      </c>
      <c r="G127" s="35" t="s">
        <v>130</v>
      </c>
      <c r="H127" s="64">
        <v>0.16700000000000001</v>
      </c>
      <c r="I127" s="1">
        <f t="shared" si="10"/>
        <v>0</v>
      </c>
      <c r="J127" s="65">
        <f t="shared" si="11"/>
        <v>0</v>
      </c>
      <c r="K127" s="66">
        <f t="shared" si="12"/>
        <v>0</v>
      </c>
    </row>
    <row r="128" spans="1:11" ht="42" outlineLevel="1" x14ac:dyDescent="0.3">
      <c r="A128" s="119" t="s">
        <v>279</v>
      </c>
      <c r="B128" s="139" t="s">
        <v>37</v>
      </c>
      <c r="C128" s="35">
        <v>1</v>
      </c>
      <c r="D128" s="35">
        <v>1903</v>
      </c>
      <c r="E128" s="35" t="s">
        <v>38</v>
      </c>
      <c r="F128" s="1" t="s">
        <v>27</v>
      </c>
      <c r="G128" s="35" t="s">
        <v>286</v>
      </c>
      <c r="H128" s="46">
        <v>0.16700000000000001</v>
      </c>
      <c r="I128" s="35">
        <f t="shared" ref="I128:I133" si="13">IF(F128="yes",D128/H128,0)</f>
        <v>11395.209580838322</v>
      </c>
      <c r="J128" s="45">
        <f t="shared" ref="J128:J133" si="14">IF(I128= 0,0,1/I128)</f>
        <v>8.7756174461376787E-5</v>
      </c>
      <c r="K128" s="45">
        <f t="shared" ref="K128:K133" si="15">J128*C128</f>
        <v>8.7756174461376787E-5</v>
      </c>
    </row>
    <row r="129" spans="1:11" ht="42" outlineLevel="1" x14ac:dyDescent="0.3">
      <c r="A129" s="143"/>
      <c r="B129" s="144"/>
      <c r="C129" s="35">
        <v>1</v>
      </c>
      <c r="D129" s="35">
        <v>1903</v>
      </c>
      <c r="E129" s="35" t="s">
        <v>39</v>
      </c>
      <c r="F129" s="1" t="s">
        <v>27</v>
      </c>
      <c r="G129" s="35" t="s">
        <v>286</v>
      </c>
      <c r="H129" s="46">
        <v>0.16700000000000001</v>
      </c>
      <c r="I129" s="35">
        <f t="shared" si="13"/>
        <v>11395.209580838322</v>
      </c>
      <c r="J129" s="45">
        <f t="shared" si="14"/>
        <v>8.7756174461376787E-5</v>
      </c>
      <c r="K129" s="45">
        <f t="shared" si="15"/>
        <v>8.7756174461376787E-5</v>
      </c>
    </row>
    <row r="130" spans="1:11" ht="42" outlineLevel="1" x14ac:dyDescent="0.3">
      <c r="A130" s="143"/>
      <c r="B130" s="144"/>
      <c r="C130" s="35">
        <v>1</v>
      </c>
      <c r="D130" s="35">
        <v>1903</v>
      </c>
      <c r="E130" s="35" t="s">
        <v>40</v>
      </c>
      <c r="F130" s="1" t="s">
        <v>27</v>
      </c>
      <c r="G130" s="35" t="s">
        <v>286</v>
      </c>
      <c r="H130" s="46">
        <v>0.16700000000000001</v>
      </c>
      <c r="I130" s="35">
        <f t="shared" si="13"/>
        <v>11395.209580838322</v>
      </c>
      <c r="J130" s="45">
        <f t="shared" si="14"/>
        <v>8.7756174461376787E-5</v>
      </c>
      <c r="K130" s="45">
        <f t="shared" si="15"/>
        <v>8.7756174461376787E-5</v>
      </c>
    </row>
    <row r="131" spans="1:11" outlineLevel="1" x14ac:dyDescent="0.3">
      <c r="A131" s="143"/>
      <c r="B131" s="144"/>
      <c r="C131" s="35">
        <v>1</v>
      </c>
      <c r="D131" s="35">
        <v>1903</v>
      </c>
      <c r="E131" s="35" t="s">
        <v>41</v>
      </c>
      <c r="F131" s="35" t="s">
        <v>28</v>
      </c>
      <c r="G131" s="35" t="s">
        <v>66</v>
      </c>
      <c r="H131" s="46">
        <v>0.16700000000000001</v>
      </c>
      <c r="I131" s="35">
        <f t="shared" si="13"/>
        <v>0</v>
      </c>
      <c r="J131" s="45">
        <f t="shared" si="14"/>
        <v>0</v>
      </c>
      <c r="K131" s="45">
        <f t="shared" si="15"/>
        <v>0</v>
      </c>
    </row>
    <row r="132" spans="1:11" ht="42" outlineLevel="1" x14ac:dyDescent="0.3">
      <c r="A132" s="143"/>
      <c r="B132" s="144"/>
      <c r="C132" s="35">
        <v>1</v>
      </c>
      <c r="D132" s="35">
        <v>1903</v>
      </c>
      <c r="E132" s="35" t="s">
        <v>42</v>
      </c>
      <c r="F132" s="35" t="s">
        <v>28</v>
      </c>
      <c r="G132" s="35" t="s">
        <v>286</v>
      </c>
      <c r="H132" s="46">
        <v>0.16700000000000001</v>
      </c>
      <c r="I132" s="35">
        <f t="shared" si="13"/>
        <v>0</v>
      </c>
      <c r="J132" s="45">
        <f t="shared" si="14"/>
        <v>0</v>
      </c>
      <c r="K132" s="45">
        <f t="shared" si="15"/>
        <v>0</v>
      </c>
    </row>
    <row r="133" spans="1:11" ht="42" outlineLevel="1" x14ac:dyDescent="0.3">
      <c r="A133" s="120"/>
      <c r="B133" s="140"/>
      <c r="C133" s="35">
        <v>1</v>
      </c>
      <c r="D133" s="35">
        <v>1903</v>
      </c>
      <c r="E133" s="35" t="s">
        <v>43</v>
      </c>
      <c r="F133" s="35" t="s">
        <v>28</v>
      </c>
      <c r="G133" s="35" t="s">
        <v>286</v>
      </c>
      <c r="H133" s="46">
        <v>0.16700000000000001</v>
      </c>
      <c r="I133" s="35">
        <f t="shared" si="13"/>
        <v>0</v>
      </c>
      <c r="J133" s="45">
        <f t="shared" si="14"/>
        <v>0</v>
      </c>
      <c r="K133" s="45">
        <f t="shared" si="15"/>
        <v>0</v>
      </c>
    </row>
    <row r="134" spans="1:11" outlineLevel="1" x14ac:dyDescent="0.3">
      <c r="A134" s="141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</row>
    <row r="135" spans="1:11" outlineLevel="1" x14ac:dyDescent="0.3">
      <c r="A135" s="119" t="s">
        <v>198</v>
      </c>
      <c r="B135" s="103" t="s">
        <v>7</v>
      </c>
      <c r="C135" s="1">
        <v>1</v>
      </c>
      <c r="D135" s="1">
        <v>114155</v>
      </c>
      <c r="E135" s="1" t="s">
        <v>20</v>
      </c>
      <c r="F135" s="1" t="s">
        <v>28</v>
      </c>
      <c r="G135" s="1" t="s">
        <v>25</v>
      </c>
      <c r="H135" s="3">
        <v>0.7</v>
      </c>
      <c r="I135" s="1">
        <f t="shared" ref="I135:I151" si="16">IF(F135="yes",D135/H135,0)</f>
        <v>0</v>
      </c>
      <c r="J135" s="10">
        <f t="shared" ref="J135:J191" si="17">IF(I135= 0,0,1/I135)</f>
        <v>0</v>
      </c>
      <c r="K135" s="10">
        <f t="shared" ref="K135:K151" si="18">J135*C135</f>
        <v>0</v>
      </c>
    </row>
    <row r="136" spans="1:11" outlineLevel="1" x14ac:dyDescent="0.3">
      <c r="A136" s="120"/>
      <c r="B136" s="104"/>
      <c r="C136" s="1">
        <v>1</v>
      </c>
      <c r="D136" s="1">
        <v>114155</v>
      </c>
      <c r="E136" s="1" t="s">
        <v>24</v>
      </c>
      <c r="F136" s="1" t="s">
        <v>28</v>
      </c>
      <c r="G136" s="1" t="s">
        <v>25</v>
      </c>
      <c r="H136" s="3">
        <v>0.3</v>
      </c>
      <c r="I136" s="1">
        <f t="shared" si="16"/>
        <v>0</v>
      </c>
      <c r="J136" s="10">
        <f t="shared" si="17"/>
        <v>0</v>
      </c>
      <c r="K136" s="10">
        <f t="shared" si="18"/>
        <v>0</v>
      </c>
    </row>
    <row r="137" spans="1:11" outlineLevel="1" x14ac:dyDescent="0.3">
      <c r="A137" s="119" t="s">
        <v>199</v>
      </c>
      <c r="B137" s="103" t="s">
        <v>7</v>
      </c>
      <c r="C137" s="1">
        <v>1</v>
      </c>
      <c r="D137" s="1">
        <v>114155</v>
      </c>
      <c r="E137" s="1" t="s">
        <v>20</v>
      </c>
      <c r="F137" s="1" t="s">
        <v>28</v>
      </c>
      <c r="G137" s="1" t="s">
        <v>25</v>
      </c>
      <c r="H137" s="3">
        <v>0.7</v>
      </c>
      <c r="I137" s="1">
        <f t="shared" si="16"/>
        <v>0</v>
      </c>
      <c r="J137" s="10">
        <f t="shared" si="17"/>
        <v>0</v>
      </c>
      <c r="K137" s="10">
        <f t="shared" si="18"/>
        <v>0</v>
      </c>
    </row>
    <row r="138" spans="1:11" outlineLevel="1" x14ac:dyDescent="0.3">
      <c r="A138" s="120"/>
      <c r="B138" s="104"/>
      <c r="C138" s="1">
        <v>1</v>
      </c>
      <c r="D138" s="1">
        <v>114155</v>
      </c>
      <c r="E138" s="1" t="s">
        <v>24</v>
      </c>
      <c r="F138" s="1" t="s">
        <v>28</v>
      </c>
      <c r="G138" s="1" t="s">
        <v>25</v>
      </c>
      <c r="H138" s="3">
        <v>0.3</v>
      </c>
      <c r="I138" s="1">
        <f t="shared" si="16"/>
        <v>0</v>
      </c>
      <c r="J138" s="10">
        <f t="shared" si="17"/>
        <v>0</v>
      </c>
      <c r="K138" s="10">
        <f t="shared" si="18"/>
        <v>0</v>
      </c>
    </row>
    <row r="139" spans="1:11" outlineLevel="1" x14ac:dyDescent="0.3">
      <c r="A139" s="119" t="s">
        <v>201</v>
      </c>
      <c r="B139" s="103" t="s">
        <v>8</v>
      </c>
      <c r="C139" s="1">
        <v>1</v>
      </c>
      <c r="D139" s="1">
        <v>22831</v>
      </c>
      <c r="E139" s="1" t="s">
        <v>20</v>
      </c>
      <c r="F139" s="1" t="s">
        <v>28</v>
      </c>
      <c r="G139" s="1" t="s">
        <v>25</v>
      </c>
      <c r="H139" s="3">
        <v>0.5</v>
      </c>
      <c r="I139" s="1">
        <f t="shared" si="16"/>
        <v>0</v>
      </c>
      <c r="J139" s="10">
        <f t="shared" si="17"/>
        <v>0</v>
      </c>
      <c r="K139" s="10">
        <f t="shared" si="18"/>
        <v>0</v>
      </c>
    </row>
    <row r="140" spans="1:11" outlineLevel="1" x14ac:dyDescent="0.3">
      <c r="A140" s="120"/>
      <c r="B140" s="104"/>
      <c r="C140" s="1">
        <v>1</v>
      </c>
      <c r="D140" s="1">
        <v>22831</v>
      </c>
      <c r="E140" s="1" t="s">
        <v>29</v>
      </c>
      <c r="F140" s="1" t="s">
        <v>28</v>
      </c>
      <c r="G140" s="1" t="s">
        <v>25</v>
      </c>
      <c r="H140" s="3">
        <v>0.5</v>
      </c>
      <c r="I140" s="1">
        <f t="shared" si="16"/>
        <v>0</v>
      </c>
      <c r="J140" s="10">
        <f t="shared" si="17"/>
        <v>0</v>
      </c>
      <c r="K140" s="10">
        <f t="shared" si="18"/>
        <v>0</v>
      </c>
    </row>
    <row r="141" spans="1:11" outlineLevel="1" x14ac:dyDescent="0.3">
      <c r="A141" s="119" t="s">
        <v>197</v>
      </c>
      <c r="B141" s="103" t="s">
        <v>7</v>
      </c>
      <c r="C141" s="1">
        <v>1</v>
      </c>
      <c r="D141" s="1">
        <v>114155</v>
      </c>
      <c r="E141" s="1" t="s">
        <v>20</v>
      </c>
      <c r="F141" s="1" t="s">
        <v>28</v>
      </c>
      <c r="G141" s="1" t="s">
        <v>25</v>
      </c>
      <c r="H141" s="3">
        <v>0.7</v>
      </c>
      <c r="I141" s="1">
        <f t="shared" si="16"/>
        <v>0</v>
      </c>
      <c r="J141" s="10">
        <f t="shared" si="17"/>
        <v>0</v>
      </c>
      <c r="K141" s="10">
        <f t="shared" si="18"/>
        <v>0</v>
      </c>
    </row>
    <row r="142" spans="1:11" outlineLevel="1" x14ac:dyDescent="0.3">
      <c r="A142" s="120"/>
      <c r="B142" s="104"/>
      <c r="C142" s="1">
        <v>1</v>
      </c>
      <c r="D142" s="1">
        <v>114155</v>
      </c>
      <c r="E142" s="1" t="s">
        <v>62</v>
      </c>
      <c r="F142" s="1" t="s">
        <v>28</v>
      </c>
      <c r="G142" s="1" t="s">
        <v>25</v>
      </c>
      <c r="H142" s="3">
        <v>0.3</v>
      </c>
      <c r="I142" s="1">
        <f t="shared" si="16"/>
        <v>0</v>
      </c>
      <c r="J142" s="10">
        <f t="shared" si="17"/>
        <v>0</v>
      </c>
      <c r="K142" s="10">
        <f t="shared" si="18"/>
        <v>0</v>
      </c>
    </row>
    <row r="143" spans="1:11" outlineLevel="1" x14ac:dyDescent="0.3">
      <c r="A143" s="119" t="s">
        <v>202</v>
      </c>
      <c r="B143" s="103" t="s">
        <v>7</v>
      </c>
      <c r="C143" s="1">
        <v>1</v>
      </c>
      <c r="D143" s="1">
        <v>114155</v>
      </c>
      <c r="E143" s="1" t="s">
        <v>20</v>
      </c>
      <c r="F143" s="1" t="s">
        <v>28</v>
      </c>
      <c r="G143" s="1" t="s">
        <v>25</v>
      </c>
      <c r="H143" s="3">
        <v>0.7</v>
      </c>
      <c r="I143" s="1">
        <f t="shared" si="16"/>
        <v>0</v>
      </c>
      <c r="J143" s="10">
        <f t="shared" si="17"/>
        <v>0</v>
      </c>
      <c r="K143" s="10">
        <f t="shared" si="18"/>
        <v>0</v>
      </c>
    </row>
    <row r="144" spans="1:11" outlineLevel="1" x14ac:dyDescent="0.3">
      <c r="A144" s="120"/>
      <c r="B144" s="104"/>
      <c r="C144" s="1">
        <v>1</v>
      </c>
      <c r="D144" s="1">
        <v>114155</v>
      </c>
      <c r="E144" s="1" t="s">
        <v>62</v>
      </c>
      <c r="F144" s="1" t="s">
        <v>28</v>
      </c>
      <c r="G144" s="1" t="s">
        <v>25</v>
      </c>
      <c r="H144" s="3">
        <v>0.3</v>
      </c>
      <c r="I144" s="1">
        <f t="shared" si="16"/>
        <v>0</v>
      </c>
      <c r="J144" s="10">
        <f t="shared" si="17"/>
        <v>0</v>
      </c>
      <c r="K144" s="10">
        <f t="shared" si="18"/>
        <v>0</v>
      </c>
    </row>
    <row r="145" spans="1:11" outlineLevel="1" x14ac:dyDescent="0.3">
      <c r="A145" s="119" t="s">
        <v>203</v>
      </c>
      <c r="B145" s="103" t="s">
        <v>7</v>
      </c>
      <c r="C145" s="1">
        <v>1</v>
      </c>
      <c r="D145" s="1">
        <v>114155</v>
      </c>
      <c r="E145" s="1" t="s">
        <v>20</v>
      </c>
      <c r="F145" s="1" t="s">
        <v>28</v>
      </c>
      <c r="G145" s="1" t="s">
        <v>25</v>
      </c>
      <c r="H145" s="3">
        <v>0.7</v>
      </c>
      <c r="I145" s="1">
        <f t="shared" si="16"/>
        <v>0</v>
      </c>
      <c r="J145" s="10">
        <f t="shared" si="17"/>
        <v>0</v>
      </c>
      <c r="K145" s="10">
        <f t="shared" si="18"/>
        <v>0</v>
      </c>
    </row>
    <row r="146" spans="1:11" outlineLevel="1" x14ac:dyDescent="0.3">
      <c r="A146" s="120"/>
      <c r="B146" s="104"/>
      <c r="C146" s="1">
        <v>1</v>
      </c>
      <c r="D146" s="1">
        <v>114155</v>
      </c>
      <c r="E146" s="1" t="s">
        <v>62</v>
      </c>
      <c r="F146" s="1" t="s">
        <v>28</v>
      </c>
      <c r="G146" s="1" t="s">
        <v>25</v>
      </c>
      <c r="H146" s="3">
        <v>0.3</v>
      </c>
      <c r="I146" s="1">
        <f t="shared" si="16"/>
        <v>0</v>
      </c>
      <c r="J146" s="10">
        <f t="shared" si="17"/>
        <v>0</v>
      </c>
      <c r="K146" s="10">
        <f t="shared" si="18"/>
        <v>0</v>
      </c>
    </row>
    <row r="147" spans="1:11" outlineLevel="1" x14ac:dyDescent="0.3">
      <c r="A147" s="101" t="s">
        <v>120</v>
      </c>
      <c r="B147" s="103" t="s">
        <v>37</v>
      </c>
      <c r="C147" s="1">
        <v>1</v>
      </c>
      <c r="D147" s="1">
        <v>1903</v>
      </c>
      <c r="E147" s="1" t="s">
        <v>38</v>
      </c>
      <c r="F147" s="1" t="s">
        <v>28</v>
      </c>
      <c r="G147" s="1" t="s">
        <v>25</v>
      </c>
      <c r="H147" s="36">
        <v>0.16700000000000001</v>
      </c>
      <c r="I147" s="1">
        <f t="shared" si="16"/>
        <v>0</v>
      </c>
      <c r="J147" s="10">
        <f t="shared" si="17"/>
        <v>0</v>
      </c>
      <c r="K147" s="10">
        <f t="shared" si="18"/>
        <v>0</v>
      </c>
    </row>
    <row r="148" spans="1:11" outlineLevel="1" x14ac:dyDescent="0.3">
      <c r="A148" s="115"/>
      <c r="B148" s="114"/>
      <c r="C148" s="1">
        <v>1</v>
      </c>
      <c r="D148" s="1">
        <v>1903</v>
      </c>
      <c r="E148" s="1" t="s">
        <v>39</v>
      </c>
      <c r="F148" s="1" t="s">
        <v>28</v>
      </c>
      <c r="G148" s="1" t="s">
        <v>25</v>
      </c>
      <c r="H148" s="36">
        <v>0.16700000000000001</v>
      </c>
      <c r="I148" s="1">
        <f t="shared" si="16"/>
        <v>0</v>
      </c>
      <c r="J148" s="10">
        <f t="shared" si="17"/>
        <v>0</v>
      </c>
      <c r="K148" s="10">
        <f t="shared" si="18"/>
        <v>0</v>
      </c>
    </row>
    <row r="149" spans="1:11" outlineLevel="1" x14ac:dyDescent="0.3">
      <c r="A149" s="115"/>
      <c r="B149" s="114"/>
      <c r="C149" s="1">
        <v>1</v>
      </c>
      <c r="D149" s="1">
        <v>1903</v>
      </c>
      <c r="E149" s="1" t="s">
        <v>40</v>
      </c>
      <c r="F149" s="1" t="s">
        <v>28</v>
      </c>
      <c r="G149" s="1" t="s">
        <v>25</v>
      </c>
      <c r="H149" s="36">
        <v>0.16700000000000001</v>
      </c>
      <c r="I149" s="1">
        <f t="shared" si="16"/>
        <v>0</v>
      </c>
      <c r="J149" s="10">
        <f t="shared" si="17"/>
        <v>0</v>
      </c>
      <c r="K149" s="10">
        <f t="shared" si="18"/>
        <v>0</v>
      </c>
    </row>
    <row r="150" spans="1:11" outlineLevel="1" x14ac:dyDescent="0.3">
      <c r="A150" s="115"/>
      <c r="B150" s="114"/>
      <c r="C150" s="1">
        <v>1</v>
      </c>
      <c r="D150" s="1">
        <v>1903</v>
      </c>
      <c r="E150" s="1" t="s">
        <v>41</v>
      </c>
      <c r="F150" s="1" t="s">
        <v>28</v>
      </c>
      <c r="G150" s="1" t="s">
        <v>25</v>
      </c>
      <c r="H150" s="36">
        <v>0.16700000000000001</v>
      </c>
      <c r="I150" s="1">
        <f t="shared" si="16"/>
        <v>0</v>
      </c>
      <c r="J150" s="10">
        <f t="shared" si="17"/>
        <v>0</v>
      </c>
      <c r="K150" s="10">
        <f t="shared" si="18"/>
        <v>0</v>
      </c>
    </row>
    <row r="151" spans="1:11" outlineLevel="1" x14ac:dyDescent="0.3">
      <c r="A151" s="115"/>
      <c r="B151" s="114"/>
      <c r="C151" s="1">
        <v>1</v>
      </c>
      <c r="D151" s="1">
        <v>1903</v>
      </c>
      <c r="E151" s="1" t="s">
        <v>42</v>
      </c>
      <c r="F151" s="1" t="s">
        <v>28</v>
      </c>
      <c r="G151" s="1" t="s">
        <v>25</v>
      </c>
      <c r="H151" s="36">
        <v>0.16700000000000001</v>
      </c>
      <c r="I151" s="1">
        <f t="shared" si="16"/>
        <v>0</v>
      </c>
      <c r="J151" s="10">
        <f t="shared" si="17"/>
        <v>0</v>
      </c>
      <c r="K151" s="10">
        <f t="shared" si="18"/>
        <v>0</v>
      </c>
    </row>
    <row r="152" spans="1:11" outlineLevel="1" x14ac:dyDescent="0.3">
      <c r="A152" s="102"/>
      <c r="B152" s="104"/>
      <c r="C152" s="1">
        <v>1</v>
      </c>
      <c r="D152" s="1">
        <v>1903</v>
      </c>
      <c r="E152" s="1" t="s">
        <v>43</v>
      </c>
      <c r="F152" s="1" t="s">
        <v>28</v>
      </c>
      <c r="G152" s="1" t="s">
        <v>25</v>
      </c>
      <c r="H152" s="36">
        <v>0.16700000000000001</v>
      </c>
      <c r="I152" s="1">
        <f>IF(F152="yes",D152/H152,0)</f>
        <v>0</v>
      </c>
      <c r="J152" s="10">
        <f t="shared" si="17"/>
        <v>0</v>
      </c>
      <c r="K152" s="10">
        <f>J152*C152</f>
        <v>0</v>
      </c>
    </row>
    <row r="153" spans="1:11" outlineLevel="1" x14ac:dyDescent="0.3">
      <c r="A153" s="101" t="s">
        <v>204</v>
      </c>
      <c r="B153" s="103" t="s">
        <v>49</v>
      </c>
      <c r="C153" s="1">
        <v>1</v>
      </c>
      <c r="D153" s="1">
        <v>114155</v>
      </c>
      <c r="E153" s="1" t="s">
        <v>20</v>
      </c>
      <c r="F153" s="1" t="s">
        <v>28</v>
      </c>
      <c r="G153" s="1" t="s">
        <v>25</v>
      </c>
      <c r="H153" s="3">
        <v>0.5</v>
      </c>
      <c r="I153" s="1">
        <f t="shared" ref="I153:I165" si="19">IF(F153="yes",D153/H153,0)</f>
        <v>0</v>
      </c>
      <c r="J153" s="10">
        <f t="shared" si="17"/>
        <v>0</v>
      </c>
      <c r="K153" s="10">
        <f t="shared" ref="K153:K165" si="20">J153*C153</f>
        <v>0</v>
      </c>
    </row>
    <row r="154" spans="1:11" outlineLevel="1" x14ac:dyDescent="0.3">
      <c r="A154" s="102"/>
      <c r="B154" s="104"/>
      <c r="C154" s="1">
        <v>1</v>
      </c>
      <c r="D154" s="1">
        <v>114155</v>
      </c>
      <c r="E154" s="1" t="s">
        <v>29</v>
      </c>
      <c r="F154" s="1" t="s">
        <v>28</v>
      </c>
      <c r="G154" s="1" t="s">
        <v>25</v>
      </c>
      <c r="H154" s="3">
        <v>0.5</v>
      </c>
      <c r="I154" s="1">
        <f t="shared" si="19"/>
        <v>0</v>
      </c>
      <c r="J154" s="10">
        <f t="shared" si="17"/>
        <v>0</v>
      </c>
      <c r="K154" s="10">
        <f t="shared" si="20"/>
        <v>0</v>
      </c>
    </row>
    <row r="155" spans="1:11" outlineLevel="1" x14ac:dyDescent="0.3">
      <c r="A155" s="101" t="s">
        <v>205</v>
      </c>
      <c r="B155" s="103" t="s">
        <v>206</v>
      </c>
      <c r="C155" s="1">
        <v>1</v>
      </c>
      <c r="D155" s="1">
        <v>1522</v>
      </c>
      <c r="E155" s="69" t="s">
        <v>50</v>
      </c>
      <c r="F155" s="1" t="s">
        <v>28</v>
      </c>
      <c r="G155" s="1" t="s">
        <v>25</v>
      </c>
      <c r="H155" s="36">
        <v>0.16700000000000001</v>
      </c>
      <c r="I155" s="1">
        <f t="shared" si="19"/>
        <v>0</v>
      </c>
      <c r="J155" s="10">
        <f t="shared" si="17"/>
        <v>0</v>
      </c>
      <c r="K155" s="10">
        <f t="shared" si="20"/>
        <v>0</v>
      </c>
    </row>
    <row r="156" spans="1:11" outlineLevel="1" x14ac:dyDescent="0.3">
      <c r="A156" s="115"/>
      <c r="B156" s="114"/>
      <c r="C156" s="1">
        <v>1</v>
      </c>
      <c r="D156" s="1">
        <v>1522</v>
      </c>
      <c r="E156" s="69" t="s">
        <v>51</v>
      </c>
      <c r="F156" s="1" t="s">
        <v>28</v>
      </c>
      <c r="G156" s="1" t="s">
        <v>25</v>
      </c>
      <c r="H156" s="36">
        <v>0.16700000000000001</v>
      </c>
      <c r="I156" s="1">
        <f t="shared" si="19"/>
        <v>0</v>
      </c>
      <c r="J156" s="10">
        <f t="shared" si="17"/>
        <v>0</v>
      </c>
      <c r="K156" s="10">
        <f t="shared" si="20"/>
        <v>0</v>
      </c>
    </row>
    <row r="157" spans="1:11" outlineLevel="1" x14ac:dyDescent="0.3">
      <c r="A157" s="115"/>
      <c r="B157" s="114"/>
      <c r="C157" s="1">
        <v>1</v>
      </c>
      <c r="D157" s="1">
        <v>1522</v>
      </c>
      <c r="E157" s="69" t="s">
        <v>52</v>
      </c>
      <c r="F157" s="1" t="s">
        <v>28</v>
      </c>
      <c r="G157" s="1" t="s">
        <v>25</v>
      </c>
      <c r="H157" s="36">
        <v>0.16700000000000001</v>
      </c>
      <c r="I157" s="1">
        <f t="shared" si="19"/>
        <v>0</v>
      </c>
      <c r="J157" s="10">
        <f t="shared" si="17"/>
        <v>0</v>
      </c>
      <c r="K157" s="10">
        <f t="shared" si="20"/>
        <v>0</v>
      </c>
    </row>
    <row r="158" spans="1:11" outlineLevel="1" x14ac:dyDescent="0.3">
      <c r="A158" s="115"/>
      <c r="B158" s="114"/>
      <c r="C158" s="1">
        <v>1</v>
      </c>
      <c r="D158" s="1">
        <v>1522</v>
      </c>
      <c r="E158" s="69" t="s">
        <v>53</v>
      </c>
      <c r="F158" s="1" t="s">
        <v>28</v>
      </c>
      <c r="G158" s="1" t="s">
        <v>25</v>
      </c>
      <c r="H158" s="36">
        <v>0.16700000000000001</v>
      </c>
      <c r="I158" s="1">
        <f t="shared" si="19"/>
        <v>0</v>
      </c>
      <c r="J158" s="10">
        <f t="shared" si="17"/>
        <v>0</v>
      </c>
      <c r="K158" s="10">
        <f t="shared" si="20"/>
        <v>0</v>
      </c>
    </row>
    <row r="159" spans="1:11" outlineLevel="1" x14ac:dyDescent="0.3">
      <c r="A159" s="115"/>
      <c r="B159" s="114"/>
      <c r="C159" s="1">
        <v>1</v>
      </c>
      <c r="D159" s="1">
        <v>1522</v>
      </c>
      <c r="E159" s="69" t="s">
        <v>54</v>
      </c>
      <c r="F159" s="1" t="s">
        <v>28</v>
      </c>
      <c r="G159" s="1" t="s">
        <v>25</v>
      </c>
      <c r="H159" s="36">
        <v>0.16700000000000001</v>
      </c>
      <c r="I159" s="1">
        <f t="shared" si="19"/>
        <v>0</v>
      </c>
      <c r="J159" s="10">
        <f t="shared" si="17"/>
        <v>0</v>
      </c>
      <c r="K159" s="10">
        <f t="shared" si="20"/>
        <v>0</v>
      </c>
    </row>
    <row r="160" spans="1:11" outlineLevel="1" x14ac:dyDescent="0.3">
      <c r="A160" s="102"/>
      <c r="B160" s="104"/>
      <c r="C160" s="1">
        <v>1</v>
      </c>
      <c r="D160" s="1">
        <v>1522</v>
      </c>
      <c r="E160" s="69" t="s">
        <v>55</v>
      </c>
      <c r="F160" s="1" t="s">
        <v>28</v>
      </c>
      <c r="G160" s="1" t="s">
        <v>25</v>
      </c>
      <c r="H160" s="36">
        <v>0.16700000000000001</v>
      </c>
      <c r="I160" s="1">
        <f t="shared" si="19"/>
        <v>0</v>
      </c>
      <c r="J160" s="10">
        <f t="shared" si="17"/>
        <v>0</v>
      </c>
      <c r="K160" s="10">
        <f t="shared" si="20"/>
        <v>0</v>
      </c>
    </row>
    <row r="161" spans="1:11" outlineLevel="1" x14ac:dyDescent="0.3">
      <c r="A161" s="101" t="s">
        <v>207</v>
      </c>
      <c r="B161" s="103" t="s">
        <v>7</v>
      </c>
      <c r="C161" s="1">
        <v>3</v>
      </c>
      <c r="D161" s="1">
        <v>114155</v>
      </c>
      <c r="E161" s="1" t="s">
        <v>20</v>
      </c>
      <c r="F161" s="1" t="s">
        <v>28</v>
      </c>
      <c r="G161" s="1" t="s">
        <v>25</v>
      </c>
      <c r="H161" s="3">
        <v>0.7</v>
      </c>
      <c r="I161" s="1">
        <f t="shared" si="19"/>
        <v>0</v>
      </c>
      <c r="J161" s="10">
        <f t="shared" si="17"/>
        <v>0</v>
      </c>
      <c r="K161" s="10">
        <f t="shared" si="20"/>
        <v>0</v>
      </c>
    </row>
    <row r="162" spans="1:11" outlineLevel="1" x14ac:dyDescent="0.3">
      <c r="A162" s="102"/>
      <c r="B162" s="104"/>
      <c r="C162" s="1">
        <v>3</v>
      </c>
      <c r="D162" s="1">
        <v>114155</v>
      </c>
      <c r="E162" s="1" t="s">
        <v>62</v>
      </c>
      <c r="F162" s="1" t="s">
        <v>28</v>
      </c>
      <c r="G162" s="1" t="s">
        <v>25</v>
      </c>
      <c r="H162" s="3">
        <v>0.3</v>
      </c>
      <c r="I162" s="1">
        <f t="shared" si="19"/>
        <v>0</v>
      </c>
      <c r="J162" s="10">
        <f t="shared" si="17"/>
        <v>0</v>
      </c>
      <c r="K162" s="10">
        <f t="shared" si="20"/>
        <v>0</v>
      </c>
    </row>
    <row r="163" spans="1:11" outlineLevel="1" x14ac:dyDescent="0.3">
      <c r="A163" s="101" t="s">
        <v>208</v>
      </c>
      <c r="B163" s="103" t="s">
        <v>7</v>
      </c>
      <c r="C163" s="1">
        <v>1</v>
      </c>
      <c r="D163" s="1">
        <v>114155</v>
      </c>
      <c r="E163" s="1" t="s">
        <v>20</v>
      </c>
      <c r="F163" s="1" t="s">
        <v>28</v>
      </c>
      <c r="G163" s="1" t="s">
        <v>25</v>
      </c>
      <c r="H163" s="3">
        <v>0.7</v>
      </c>
      <c r="I163" s="1">
        <f t="shared" si="19"/>
        <v>0</v>
      </c>
      <c r="J163" s="10">
        <f t="shared" si="17"/>
        <v>0</v>
      </c>
      <c r="K163" s="10">
        <f t="shared" si="20"/>
        <v>0</v>
      </c>
    </row>
    <row r="164" spans="1:11" outlineLevel="1" x14ac:dyDescent="0.3">
      <c r="A164" s="102"/>
      <c r="B164" s="104"/>
      <c r="C164" s="1">
        <v>1</v>
      </c>
      <c r="D164" s="1">
        <v>114155</v>
      </c>
      <c r="E164" s="1" t="s">
        <v>62</v>
      </c>
      <c r="F164" s="1" t="s">
        <v>28</v>
      </c>
      <c r="G164" s="1" t="s">
        <v>25</v>
      </c>
      <c r="H164" s="3">
        <v>0.3</v>
      </c>
      <c r="I164" s="1">
        <f t="shared" si="19"/>
        <v>0</v>
      </c>
      <c r="J164" s="10">
        <f t="shared" si="17"/>
        <v>0</v>
      </c>
      <c r="K164" s="10">
        <f t="shared" si="20"/>
        <v>0</v>
      </c>
    </row>
    <row r="165" spans="1:11" outlineLevel="1" x14ac:dyDescent="0.3">
      <c r="A165" s="101" t="s">
        <v>209</v>
      </c>
      <c r="B165" s="103" t="s">
        <v>8</v>
      </c>
      <c r="C165" s="1">
        <v>1</v>
      </c>
      <c r="D165" s="1">
        <v>22831</v>
      </c>
      <c r="E165" s="1" t="s">
        <v>20</v>
      </c>
      <c r="F165" s="1" t="s">
        <v>28</v>
      </c>
      <c r="G165" s="1" t="s">
        <v>25</v>
      </c>
      <c r="H165" s="3">
        <v>0.5</v>
      </c>
      <c r="I165" s="1">
        <f t="shared" si="19"/>
        <v>0</v>
      </c>
      <c r="J165" s="10">
        <f t="shared" si="17"/>
        <v>0</v>
      </c>
      <c r="K165" s="10">
        <f t="shared" si="20"/>
        <v>0</v>
      </c>
    </row>
    <row r="166" spans="1:11" outlineLevel="1" x14ac:dyDescent="0.3">
      <c r="A166" s="102"/>
      <c r="B166" s="104"/>
      <c r="C166" s="1">
        <v>1</v>
      </c>
      <c r="D166" s="1">
        <v>22831</v>
      </c>
      <c r="E166" s="1" t="s">
        <v>29</v>
      </c>
      <c r="F166" s="1" t="s">
        <v>28</v>
      </c>
      <c r="G166" s="1" t="s">
        <v>25</v>
      </c>
      <c r="H166" s="3">
        <v>0.5</v>
      </c>
      <c r="I166" s="1">
        <f>IF(F166="yes",D166/H166,0)</f>
        <v>0</v>
      </c>
      <c r="J166" s="10">
        <f>IF(I166= 0,0,1/I166)</f>
        <v>0</v>
      </c>
      <c r="K166" s="10">
        <f>J166*C166</f>
        <v>0</v>
      </c>
    </row>
    <row r="167" spans="1:11" x14ac:dyDescent="0.3">
      <c r="A167" s="148"/>
      <c r="B167" s="149"/>
      <c r="C167" s="149"/>
      <c r="D167" s="149"/>
      <c r="E167" s="149"/>
      <c r="F167" s="149"/>
      <c r="G167" s="149"/>
      <c r="H167" s="149"/>
      <c r="I167" s="149"/>
      <c r="J167" s="149"/>
      <c r="K167" s="150"/>
    </row>
    <row r="168" spans="1:11" ht="28" outlineLevel="1" x14ac:dyDescent="0.3">
      <c r="A168" s="119" t="s">
        <v>246</v>
      </c>
      <c r="B168" s="103" t="s">
        <v>9</v>
      </c>
      <c r="C168" s="1">
        <v>2</v>
      </c>
      <c r="D168" s="1">
        <v>114155</v>
      </c>
      <c r="E168" s="1" t="s">
        <v>20</v>
      </c>
      <c r="F168" s="1" t="s">
        <v>27</v>
      </c>
      <c r="G168" s="35" t="s">
        <v>69</v>
      </c>
      <c r="H168" s="3">
        <v>0.5</v>
      </c>
      <c r="I168" s="1">
        <f t="shared" ref="I168:I191" si="21">IF(F168="yes",D168/H168,0)</f>
        <v>228310</v>
      </c>
      <c r="J168" s="10">
        <f t="shared" si="17"/>
        <v>4.3800096360211989E-6</v>
      </c>
      <c r="K168" s="10">
        <f t="shared" ref="K168:K191" si="22">J168*C168</f>
        <v>8.7600192720423978E-6</v>
      </c>
    </row>
    <row r="169" spans="1:11" outlineLevel="1" x14ac:dyDescent="0.3">
      <c r="A169" s="120"/>
      <c r="B169" s="104"/>
      <c r="C169" s="1">
        <v>2</v>
      </c>
      <c r="D169" s="1">
        <v>114155</v>
      </c>
      <c r="E169" s="1" t="s">
        <v>29</v>
      </c>
      <c r="F169" s="1" t="s">
        <v>28</v>
      </c>
      <c r="G169" s="1" t="s">
        <v>25</v>
      </c>
      <c r="H169" s="3">
        <v>0.5</v>
      </c>
      <c r="I169" s="1">
        <f t="shared" si="21"/>
        <v>0</v>
      </c>
      <c r="J169" s="10">
        <f t="shared" si="17"/>
        <v>0</v>
      </c>
      <c r="K169" s="10">
        <f t="shared" si="22"/>
        <v>0</v>
      </c>
    </row>
    <row r="170" spans="1:11" outlineLevel="1" x14ac:dyDescent="0.3">
      <c r="A170" s="119" t="s">
        <v>248</v>
      </c>
      <c r="B170" s="103" t="s">
        <v>9</v>
      </c>
      <c r="C170" s="1">
        <v>1</v>
      </c>
      <c r="D170" s="1">
        <v>114155</v>
      </c>
      <c r="E170" s="1" t="s">
        <v>20</v>
      </c>
      <c r="F170" s="1" t="s">
        <v>28</v>
      </c>
      <c r="G170" s="1" t="s">
        <v>25</v>
      </c>
      <c r="H170" s="3">
        <v>0.5</v>
      </c>
      <c r="I170" s="1">
        <f t="shared" si="21"/>
        <v>0</v>
      </c>
      <c r="J170" s="10">
        <f t="shared" si="17"/>
        <v>0</v>
      </c>
      <c r="K170" s="10">
        <f t="shared" si="22"/>
        <v>0</v>
      </c>
    </row>
    <row r="171" spans="1:11" outlineLevel="1" x14ac:dyDescent="0.3">
      <c r="A171" s="120"/>
      <c r="B171" s="104"/>
      <c r="C171" s="1">
        <v>1</v>
      </c>
      <c r="D171" s="1">
        <v>114155</v>
      </c>
      <c r="E171" s="1" t="s">
        <v>29</v>
      </c>
      <c r="F171" s="1" t="s">
        <v>28</v>
      </c>
      <c r="G171" s="1" t="s">
        <v>25</v>
      </c>
      <c r="H171" s="3">
        <v>0.5</v>
      </c>
      <c r="I171" s="1">
        <f t="shared" si="21"/>
        <v>0</v>
      </c>
      <c r="J171" s="10">
        <f t="shared" si="17"/>
        <v>0</v>
      </c>
      <c r="K171" s="10">
        <f t="shared" si="22"/>
        <v>0</v>
      </c>
    </row>
    <row r="172" spans="1:11" ht="28" outlineLevel="1" x14ac:dyDescent="0.3">
      <c r="A172" s="119" t="s">
        <v>249</v>
      </c>
      <c r="B172" s="103" t="s">
        <v>9</v>
      </c>
      <c r="C172" s="1">
        <v>3</v>
      </c>
      <c r="D172" s="1">
        <v>114155</v>
      </c>
      <c r="E172" s="1" t="s">
        <v>20</v>
      </c>
      <c r="F172" s="1" t="s">
        <v>27</v>
      </c>
      <c r="G172" s="35" t="s">
        <v>69</v>
      </c>
      <c r="H172" s="3">
        <v>0.5</v>
      </c>
      <c r="I172" s="1">
        <f t="shared" si="21"/>
        <v>228310</v>
      </c>
      <c r="J172" s="10">
        <f t="shared" si="17"/>
        <v>4.3800096360211989E-6</v>
      </c>
      <c r="K172" s="10">
        <f t="shared" si="22"/>
        <v>1.3140028908063597E-5</v>
      </c>
    </row>
    <row r="173" spans="1:11" outlineLevel="1" x14ac:dyDescent="0.3">
      <c r="A173" s="120"/>
      <c r="B173" s="104"/>
      <c r="C173" s="1">
        <v>3</v>
      </c>
      <c r="D173" s="1">
        <v>114155</v>
      </c>
      <c r="E173" s="1" t="s">
        <v>29</v>
      </c>
      <c r="F173" s="1" t="s">
        <v>28</v>
      </c>
      <c r="G173" s="1" t="s">
        <v>25</v>
      </c>
      <c r="H173" s="3">
        <v>0.5</v>
      </c>
      <c r="I173" s="1">
        <f t="shared" si="21"/>
        <v>0</v>
      </c>
      <c r="J173" s="10">
        <f t="shared" si="17"/>
        <v>0</v>
      </c>
      <c r="K173" s="10">
        <f t="shared" si="22"/>
        <v>0</v>
      </c>
    </row>
    <row r="174" spans="1:11" ht="28" outlineLevel="1" x14ac:dyDescent="0.3">
      <c r="A174" s="112" t="s">
        <v>210</v>
      </c>
      <c r="B174" s="107" t="s">
        <v>7</v>
      </c>
      <c r="C174" s="1">
        <v>1</v>
      </c>
      <c r="D174" s="1">
        <v>114155</v>
      </c>
      <c r="E174" s="1" t="s">
        <v>20</v>
      </c>
      <c r="F174" s="1" t="s">
        <v>27</v>
      </c>
      <c r="G174" s="35" t="s">
        <v>70</v>
      </c>
      <c r="H174" s="3">
        <v>0.7</v>
      </c>
      <c r="I174" s="1">
        <f t="shared" si="21"/>
        <v>163078.57142857145</v>
      </c>
      <c r="J174" s="10">
        <f t="shared" si="17"/>
        <v>6.1320134904296781E-6</v>
      </c>
      <c r="K174" s="10">
        <f t="shared" si="22"/>
        <v>6.1320134904296781E-6</v>
      </c>
    </row>
    <row r="175" spans="1:11" outlineLevel="1" x14ac:dyDescent="0.3">
      <c r="A175" s="113"/>
      <c r="B175" s="108"/>
      <c r="C175" s="1">
        <v>1</v>
      </c>
      <c r="D175" s="1">
        <v>114155</v>
      </c>
      <c r="E175" s="1" t="s">
        <v>24</v>
      </c>
      <c r="F175" s="1" t="s">
        <v>28</v>
      </c>
      <c r="G175" s="1" t="s">
        <v>25</v>
      </c>
      <c r="H175" s="3">
        <v>0.3</v>
      </c>
      <c r="I175" s="1">
        <f t="shared" si="21"/>
        <v>0</v>
      </c>
      <c r="J175" s="10">
        <f t="shared" si="17"/>
        <v>0</v>
      </c>
      <c r="K175" s="10">
        <f t="shared" si="22"/>
        <v>0</v>
      </c>
    </row>
    <row r="176" spans="1:11" ht="28" outlineLevel="1" x14ac:dyDescent="0.3">
      <c r="A176" s="101" t="s">
        <v>211</v>
      </c>
      <c r="B176" s="103" t="s">
        <v>7</v>
      </c>
      <c r="C176" s="38">
        <v>2</v>
      </c>
      <c r="D176" s="82">
        <v>57305.9</v>
      </c>
      <c r="E176" s="38" t="s">
        <v>20</v>
      </c>
      <c r="F176" s="38" t="s">
        <v>27</v>
      </c>
      <c r="G176" s="41" t="s">
        <v>257</v>
      </c>
      <c r="H176" s="47">
        <v>0.7</v>
      </c>
      <c r="I176" s="38">
        <f t="shared" si="21"/>
        <v>81865.571428571435</v>
      </c>
      <c r="J176" s="48">
        <f t="shared" si="17"/>
        <v>1.2215147131447197E-5</v>
      </c>
      <c r="K176" s="48">
        <f t="shared" si="22"/>
        <v>2.4430294262894394E-5</v>
      </c>
    </row>
    <row r="177" spans="1:11" outlineLevel="1" x14ac:dyDescent="0.3">
      <c r="A177" s="102"/>
      <c r="B177" s="104"/>
      <c r="C177" s="38">
        <v>2</v>
      </c>
      <c r="D177" s="82">
        <v>57305.9</v>
      </c>
      <c r="E177" s="38" t="s">
        <v>148</v>
      </c>
      <c r="F177" s="38" t="s">
        <v>28</v>
      </c>
      <c r="G177" s="41" t="s">
        <v>25</v>
      </c>
      <c r="H177" s="47">
        <v>0.3</v>
      </c>
      <c r="I177" s="38">
        <f t="shared" si="21"/>
        <v>0</v>
      </c>
      <c r="J177" s="48">
        <f t="shared" si="17"/>
        <v>0</v>
      </c>
      <c r="K177" s="48">
        <f t="shared" si="22"/>
        <v>0</v>
      </c>
    </row>
    <row r="178" spans="1:11" outlineLevel="1" x14ac:dyDescent="0.3">
      <c r="A178" s="105" t="s">
        <v>212</v>
      </c>
      <c r="B178" s="107" t="s">
        <v>8</v>
      </c>
      <c r="C178" s="1">
        <v>10</v>
      </c>
      <c r="D178" s="1">
        <v>22831</v>
      </c>
      <c r="E178" s="1" t="s">
        <v>20</v>
      </c>
      <c r="F178" s="1" t="s">
        <v>28</v>
      </c>
      <c r="G178" s="1" t="s">
        <v>25</v>
      </c>
      <c r="H178" s="3">
        <v>0.5</v>
      </c>
      <c r="I178" s="1">
        <f t="shared" si="21"/>
        <v>0</v>
      </c>
      <c r="J178" s="10">
        <f t="shared" si="17"/>
        <v>0</v>
      </c>
      <c r="K178" s="10">
        <f t="shared" si="22"/>
        <v>0</v>
      </c>
    </row>
    <row r="179" spans="1:11" ht="28" outlineLevel="1" x14ac:dyDescent="0.3">
      <c r="A179" s="106"/>
      <c r="B179" s="108"/>
      <c r="C179" s="1">
        <v>10</v>
      </c>
      <c r="D179" s="1">
        <v>22831</v>
      </c>
      <c r="E179" s="1" t="s">
        <v>29</v>
      </c>
      <c r="F179" s="1" t="s">
        <v>27</v>
      </c>
      <c r="G179" s="35" t="s">
        <v>71</v>
      </c>
      <c r="H179" s="3">
        <v>0.5</v>
      </c>
      <c r="I179" s="1">
        <f t="shared" si="21"/>
        <v>45662</v>
      </c>
      <c r="J179" s="10">
        <f t="shared" si="17"/>
        <v>2.1900048180105996E-5</v>
      </c>
      <c r="K179" s="10">
        <f t="shared" si="22"/>
        <v>2.1900048180105997E-4</v>
      </c>
    </row>
    <row r="180" spans="1:11" outlineLevel="1" x14ac:dyDescent="0.3">
      <c r="A180" s="105" t="s">
        <v>213</v>
      </c>
      <c r="B180" s="107" t="s">
        <v>8</v>
      </c>
      <c r="C180" s="1">
        <v>3</v>
      </c>
      <c r="D180" s="1">
        <v>22831</v>
      </c>
      <c r="E180" s="1" t="s">
        <v>20</v>
      </c>
      <c r="F180" s="1" t="s">
        <v>28</v>
      </c>
      <c r="G180" s="1" t="s">
        <v>25</v>
      </c>
      <c r="H180" s="3">
        <v>0.5</v>
      </c>
      <c r="I180" s="1">
        <f t="shared" si="21"/>
        <v>0</v>
      </c>
      <c r="J180" s="10">
        <f t="shared" si="17"/>
        <v>0</v>
      </c>
      <c r="K180" s="10">
        <f t="shared" si="22"/>
        <v>0</v>
      </c>
    </row>
    <row r="181" spans="1:11" ht="28" outlineLevel="1" x14ac:dyDescent="0.3">
      <c r="A181" s="106"/>
      <c r="B181" s="108"/>
      <c r="C181" s="1">
        <v>3</v>
      </c>
      <c r="D181" s="1">
        <v>22831</v>
      </c>
      <c r="E181" s="1" t="s">
        <v>29</v>
      </c>
      <c r="F181" s="1" t="s">
        <v>27</v>
      </c>
      <c r="G181" s="35" t="s">
        <v>215</v>
      </c>
      <c r="H181" s="3">
        <v>0.5</v>
      </c>
      <c r="I181" s="1">
        <f t="shared" si="21"/>
        <v>45662</v>
      </c>
      <c r="J181" s="10">
        <f t="shared" si="17"/>
        <v>2.1900048180105996E-5</v>
      </c>
      <c r="K181" s="10">
        <f t="shared" si="22"/>
        <v>6.5700144540317985E-5</v>
      </c>
    </row>
    <row r="182" spans="1:11" outlineLevel="1" x14ac:dyDescent="0.3">
      <c r="A182" s="105" t="s">
        <v>214</v>
      </c>
      <c r="B182" s="107" t="s">
        <v>8</v>
      </c>
      <c r="C182" s="1">
        <v>2</v>
      </c>
      <c r="D182" s="1">
        <v>22831</v>
      </c>
      <c r="E182" s="1" t="s">
        <v>20</v>
      </c>
      <c r="F182" s="1" t="s">
        <v>28</v>
      </c>
      <c r="G182" s="1" t="s">
        <v>25</v>
      </c>
      <c r="H182" s="3">
        <v>0.5</v>
      </c>
      <c r="I182" s="1">
        <f t="shared" si="21"/>
        <v>0</v>
      </c>
      <c r="J182" s="10">
        <f t="shared" si="17"/>
        <v>0</v>
      </c>
      <c r="K182" s="10">
        <f t="shared" si="22"/>
        <v>0</v>
      </c>
    </row>
    <row r="183" spans="1:11" outlineLevel="1" x14ac:dyDescent="0.3">
      <c r="A183" s="106"/>
      <c r="B183" s="108"/>
      <c r="C183" s="1">
        <v>2</v>
      </c>
      <c r="D183" s="1">
        <v>22831</v>
      </c>
      <c r="E183" s="1" t="s">
        <v>29</v>
      </c>
      <c r="F183" s="1" t="s">
        <v>28</v>
      </c>
      <c r="G183" s="1" t="s">
        <v>25</v>
      </c>
      <c r="H183" s="3">
        <v>0.5</v>
      </c>
      <c r="I183" s="1">
        <f t="shared" si="21"/>
        <v>0</v>
      </c>
      <c r="J183" s="10">
        <f t="shared" si="17"/>
        <v>0</v>
      </c>
      <c r="K183" s="10">
        <f t="shared" si="22"/>
        <v>0</v>
      </c>
    </row>
    <row r="184" spans="1:11" ht="28" outlineLevel="1" x14ac:dyDescent="0.3">
      <c r="A184" s="11" t="s">
        <v>218</v>
      </c>
      <c r="B184" s="1" t="s">
        <v>72</v>
      </c>
      <c r="C184" s="1">
        <v>1</v>
      </c>
      <c r="D184" s="80">
        <v>1490.82</v>
      </c>
      <c r="E184" s="1" t="s">
        <v>73</v>
      </c>
      <c r="F184" s="1" t="s">
        <v>27</v>
      </c>
      <c r="G184" s="35" t="s">
        <v>71</v>
      </c>
      <c r="H184" s="3">
        <v>1</v>
      </c>
      <c r="I184" s="1">
        <f t="shared" si="21"/>
        <v>1490.82</v>
      </c>
      <c r="J184" s="10">
        <f t="shared" si="17"/>
        <v>6.7077179002159883E-4</v>
      </c>
      <c r="K184" s="10">
        <f t="shared" si="22"/>
        <v>6.7077179002159883E-4</v>
      </c>
    </row>
    <row r="185" spans="1:11" ht="42" outlineLevel="1" x14ac:dyDescent="0.3">
      <c r="A185" s="11" t="s">
        <v>216</v>
      </c>
      <c r="B185" s="1" t="s">
        <v>217</v>
      </c>
      <c r="C185" s="1">
        <v>1</v>
      </c>
      <c r="D185" s="69">
        <v>17.767790000000002</v>
      </c>
      <c r="E185" s="1" t="s">
        <v>73</v>
      </c>
      <c r="F185" s="1" t="s">
        <v>27</v>
      </c>
      <c r="G185" s="35" t="s">
        <v>223</v>
      </c>
      <c r="H185" s="3">
        <v>1</v>
      </c>
      <c r="I185" s="1">
        <f t="shared" si="21"/>
        <v>17.767790000000002</v>
      </c>
      <c r="J185" s="10">
        <f t="shared" si="17"/>
        <v>5.628161971747752E-2</v>
      </c>
      <c r="K185" s="10">
        <f t="shared" si="22"/>
        <v>5.628161971747752E-2</v>
      </c>
    </row>
    <row r="186" spans="1:11" ht="42" outlineLevel="1" x14ac:dyDescent="0.3">
      <c r="A186" s="101" t="s">
        <v>222</v>
      </c>
      <c r="B186" s="103" t="s">
        <v>221</v>
      </c>
      <c r="C186" s="1">
        <v>1</v>
      </c>
      <c r="D186" s="1">
        <v>11415</v>
      </c>
      <c r="E186" s="1" t="s">
        <v>20</v>
      </c>
      <c r="F186" s="1" t="s">
        <v>27</v>
      </c>
      <c r="G186" s="35" t="s">
        <v>224</v>
      </c>
      <c r="H186" s="3">
        <v>0.7</v>
      </c>
      <c r="I186" s="1">
        <f t="shared" si="21"/>
        <v>16307.142857142859</v>
      </c>
      <c r="J186" s="10">
        <f t="shared" si="17"/>
        <v>6.1322820849759089E-5</v>
      </c>
      <c r="K186" s="10">
        <f t="shared" si="22"/>
        <v>6.1322820849759089E-5</v>
      </c>
    </row>
    <row r="187" spans="1:11" ht="42" outlineLevel="1" x14ac:dyDescent="0.3">
      <c r="A187" s="102"/>
      <c r="B187" s="104"/>
      <c r="C187" s="1">
        <v>1</v>
      </c>
      <c r="D187" s="1">
        <v>11415</v>
      </c>
      <c r="E187" s="1" t="s">
        <v>62</v>
      </c>
      <c r="F187" s="1" t="s">
        <v>27</v>
      </c>
      <c r="G187" s="35" t="s">
        <v>225</v>
      </c>
      <c r="H187" s="3">
        <v>0.3</v>
      </c>
      <c r="I187" s="1">
        <f t="shared" si="21"/>
        <v>38050</v>
      </c>
      <c r="J187" s="10">
        <f t="shared" si="17"/>
        <v>2.6281208935611039E-5</v>
      </c>
      <c r="K187" s="10">
        <f t="shared" si="22"/>
        <v>2.6281208935611039E-5</v>
      </c>
    </row>
    <row r="188" spans="1:11" outlineLevel="1" x14ac:dyDescent="0.3">
      <c r="A188" s="101" t="s">
        <v>220</v>
      </c>
      <c r="B188" s="103" t="s">
        <v>7</v>
      </c>
      <c r="C188" s="1">
        <v>1</v>
      </c>
      <c r="D188" s="1">
        <v>114155</v>
      </c>
      <c r="E188" s="1" t="s">
        <v>20</v>
      </c>
      <c r="F188" s="1" t="s">
        <v>28</v>
      </c>
      <c r="G188" s="35" t="s">
        <v>25</v>
      </c>
      <c r="H188" s="3">
        <v>0.7</v>
      </c>
      <c r="I188" s="1">
        <f t="shared" si="21"/>
        <v>0</v>
      </c>
      <c r="J188" s="10">
        <f t="shared" si="17"/>
        <v>0</v>
      </c>
      <c r="K188" s="10">
        <f t="shared" si="22"/>
        <v>0</v>
      </c>
    </row>
    <row r="189" spans="1:11" outlineLevel="1" x14ac:dyDescent="0.3">
      <c r="A189" s="102"/>
      <c r="B189" s="104"/>
      <c r="C189" s="1">
        <v>1</v>
      </c>
      <c r="D189" s="1">
        <v>114155</v>
      </c>
      <c r="E189" s="1" t="s">
        <v>62</v>
      </c>
      <c r="F189" s="1" t="s">
        <v>28</v>
      </c>
      <c r="G189" s="35" t="s">
        <v>25</v>
      </c>
      <c r="H189" s="3">
        <v>0.3</v>
      </c>
      <c r="I189" s="1">
        <f t="shared" si="21"/>
        <v>0</v>
      </c>
      <c r="J189" s="10">
        <f t="shared" si="17"/>
        <v>0</v>
      </c>
      <c r="K189" s="10">
        <f t="shared" si="22"/>
        <v>0</v>
      </c>
    </row>
    <row r="190" spans="1:11" ht="28" outlineLevel="1" x14ac:dyDescent="0.3">
      <c r="A190" s="101" t="s">
        <v>219</v>
      </c>
      <c r="B190" s="103" t="s">
        <v>7</v>
      </c>
      <c r="C190" s="1">
        <v>5</v>
      </c>
      <c r="D190" s="1">
        <v>114155</v>
      </c>
      <c r="E190" s="1" t="s">
        <v>20</v>
      </c>
      <c r="F190" s="1" t="s">
        <v>27</v>
      </c>
      <c r="G190" s="35" t="s">
        <v>226</v>
      </c>
      <c r="H190" s="3">
        <v>0.7</v>
      </c>
      <c r="I190" s="1">
        <f t="shared" si="21"/>
        <v>163078.57142857145</v>
      </c>
      <c r="J190" s="10">
        <f t="shared" si="17"/>
        <v>6.1320134904296781E-6</v>
      </c>
      <c r="K190" s="10">
        <f t="shared" si="22"/>
        <v>3.0660067452148394E-5</v>
      </c>
    </row>
    <row r="191" spans="1:11" outlineLevel="1" x14ac:dyDescent="0.3">
      <c r="A191" s="102"/>
      <c r="B191" s="104"/>
      <c r="C191" s="1">
        <v>5</v>
      </c>
      <c r="D191" s="1">
        <v>114155</v>
      </c>
      <c r="E191" s="1" t="s">
        <v>62</v>
      </c>
      <c r="F191" s="1" t="s">
        <v>28</v>
      </c>
      <c r="G191" s="35" t="s">
        <v>25</v>
      </c>
      <c r="H191" s="3">
        <v>0.3</v>
      </c>
      <c r="I191" s="1">
        <f t="shared" si="21"/>
        <v>0</v>
      </c>
      <c r="J191" s="10">
        <f t="shared" si="17"/>
        <v>0</v>
      </c>
      <c r="K191" s="10">
        <f t="shared" si="22"/>
        <v>0</v>
      </c>
    </row>
    <row r="192" spans="1:11" x14ac:dyDescent="0.3">
      <c r="A192" s="136"/>
      <c r="B192" s="137"/>
      <c r="C192" s="137"/>
      <c r="D192" s="137"/>
      <c r="E192" s="137"/>
      <c r="F192" s="137"/>
      <c r="G192" s="137"/>
      <c r="H192" s="137"/>
      <c r="I192" s="137"/>
      <c r="J192" s="137"/>
      <c r="K192" s="138"/>
    </row>
    <row r="193" spans="1:11" ht="28" outlineLevel="1" x14ac:dyDescent="0.3">
      <c r="A193" s="11" t="s">
        <v>126</v>
      </c>
      <c r="B193" s="1" t="s">
        <v>74</v>
      </c>
      <c r="C193" s="1">
        <v>1</v>
      </c>
      <c r="D193" s="1">
        <v>891.28</v>
      </c>
      <c r="E193" s="1" t="s">
        <v>73</v>
      </c>
      <c r="F193" s="1" t="s">
        <v>27</v>
      </c>
      <c r="G193" s="35" t="s">
        <v>75</v>
      </c>
      <c r="H193" s="3">
        <v>1</v>
      </c>
      <c r="I193" s="1">
        <f t="shared" ref="I193:I213" si="23">IF(F193="yes",D193/H193,0)</f>
        <v>891.28</v>
      </c>
      <c r="J193" s="10">
        <f t="shared" ref="J193:J213" si="24">IF(I193= 0,0,1/I193)</f>
        <v>1.1219818687730006E-3</v>
      </c>
      <c r="K193" s="10">
        <f t="shared" ref="K193:K213" si="25">J193*C193</f>
        <v>1.1219818687730006E-3</v>
      </c>
    </row>
    <row r="194" spans="1:11" outlineLevel="1" x14ac:dyDescent="0.3">
      <c r="A194" s="101" t="s">
        <v>228</v>
      </c>
      <c r="B194" s="103" t="s">
        <v>8</v>
      </c>
      <c r="C194" s="1">
        <v>2</v>
      </c>
      <c r="D194" s="1">
        <v>22831</v>
      </c>
      <c r="E194" s="1" t="s">
        <v>20</v>
      </c>
      <c r="F194" s="1" t="s">
        <v>28</v>
      </c>
      <c r="G194" s="1" t="s">
        <v>25</v>
      </c>
      <c r="H194" s="3">
        <v>0.5</v>
      </c>
      <c r="I194" s="1">
        <f t="shared" si="23"/>
        <v>0</v>
      </c>
      <c r="J194" s="10">
        <f t="shared" si="24"/>
        <v>0</v>
      </c>
      <c r="K194" s="10">
        <f t="shared" si="25"/>
        <v>0</v>
      </c>
    </row>
    <row r="195" spans="1:11" ht="28" outlineLevel="1" x14ac:dyDescent="0.3">
      <c r="A195" s="102"/>
      <c r="B195" s="104"/>
      <c r="C195" s="1">
        <v>2</v>
      </c>
      <c r="D195" s="1">
        <v>22831</v>
      </c>
      <c r="E195" s="1" t="s">
        <v>29</v>
      </c>
      <c r="F195" s="1" t="s">
        <v>27</v>
      </c>
      <c r="G195" s="35" t="s">
        <v>76</v>
      </c>
      <c r="H195" s="3">
        <v>0.5</v>
      </c>
      <c r="I195" s="1">
        <f t="shared" si="23"/>
        <v>45662</v>
      </c>
      <c r="J195" s="10">
        <f t="shared" si="24"/>
        <v>2.1900048180105996E-5</v>
      </c>
      <c r="K195" s="10">
        <f t="shared" si="25"/>
        <v>4.3800096360211993E-5</v>
      </c>
    </row>
    <row r="196" spans="1:11" ht="28" outlineLevel="1" x14ac:dyDescent="0.3">
      <c r="A196" s="101" t="s">
        <v>227</v>
      </c>
      <c r="B196" s="103" t="s">
        <v>8</v>
      </c>
      <c r="C196" s="1">
        <v>2</v>
      </c>
      <c r="D196" s="1">
        <v>22831</v>
      </c>
      <c r="E196" s="1" t="s">
        <v>20</v>
      </c>
      <c r="F196" s="1" t="s">
        <v>27</v>
      </c>
      <c r="G196" s="35" t="s">
        <v>77</v>
      </c>
      <c r="H196" s="3">
        <v>0.5</v>
      </c>
      <c r="I196" s="1">
        <f t="shared" si="23"/>
        <v>45662</v>
      </c>
      <c r="J196" s="10">
        <f t="shared" si="24"/>
        <v>2.1900048180105996E-5</v>
      </c>
      <c r="K196" s="10">
        <f t="shared" si="25"/>
        <v>4.3800096360211993E-5</v>
      </c>
    </row>
    <row r="197" spans="1:11" ht="28" outlineLevel="1" x14ac:dyDescent="0.3">
      <c r="A197" s="102"/>
      <c r="B197" s="104"/>
      <c r="C197" s="1">
        <v>2</v>
      </c>
      <c r="D197" s="1">
        <v>22831</v>
      </c>
      <c r="E197" s="1" t="s">
        <v>29</v>
      </c>
      <c r="F197" s="1" t="s">
        <v>27</v>
      </c>
      <c r="G197" s="35" t="s">
        <v>77</v>
      </c>
      <c r="H197" s="3">
        <v>0.5</v>
      </c>
      <c r="I197" s="1">
        <f t="shared" si="23"/>
        <v>45662</v>
      </c>
      <c r="J197" s="10">
        <f t="shared" si="24"/>
        <v>2.1900048180105996E-5</v>
      </c>
      <c r="K197" s="10">
        <f t="shared" si="25"/>
        <v>4.3800096360211993E-5</v>
      </c>
    </row>
    <row r="198" spans="1:11" ht="28" outlineLevel="1" x14ac:dyDescent="0.3">
      <c r="A198" s="37" t="s">
        <v>123</v>
      </c>
      <c r="B198" s="38" t="s">
        <v>11</v>
      </c>
      <c r="C198" s="1">
        <v>1</v>
      </c>
      <c r="D198" s="1">
        <v>3805.2</v>
      </c>
      <c r="E198" s="1" t="s">
        <v>73</v>
      </c>
      <c r="F198" s="1" t="s">
        <v>27</v>
      </c>
      <c r="G198" s="35" t="s">
        <v>78</v>
      </c>
      <c r="H198" s="3">
        <v>1</v>
      </c>
      <c r="I198" s="1">
        <f t="shared" si="23"/>
        <v>3805.2</v>
      </c>
      <c r="J198" s="10">
        <f t="shared" si="24"/>
        <v>2.6279827604330916E-4</v>
      </c>
      <c r="K198" s="10">
        <f t="shared" si="25"/>
        <v>2.6279827604330916E-4</v>
      </c>
    </row>
    <row r="199" spans="1:11" outlineLevel="1" x14ac:dyDescent="0.3">
      <c r="A199" s="101" t="s">
        <v>229</v>
      </c>
      <c r="B199" s="103" t="s">
        <v>7</v>
      </c>
      <c r="C199" s="1">
        <v>6</v>
      </c>
      <c r="D199" s="1">
        <v>114155</v>
      </c>
      <c r="E199" s="1" t="s">
        <v>20</v>
      </c>
      <c r="F199" s="1" t="s">
        <v>28</v>
      </c>
      <c r="G199" s="1" t="s">
        <v>25</v>
      </c>
      <c r="H199" s="3">
        <v>0.7</v>
      </c>
      <c r="I199" s="1">
        <f t="shared" si="23"/>
        <v>0</v>
      </c>
      <c r="J199" s="10">
        <f t="shared" si="24"/>
        <v>0</v>
      </c>
      <c r="K199" s="10">
        <f t="shared" si="25"/>
        <v>0</v>
      </c>
    </row>
    <row r="200" spans="1:11" ht="28" outlineLevel="1" x14ac:dyDescent="0.3">
      <c r="A200" s="102"/>
      <c r="B200" s="104"/>
      <c r="C200" s="1">
        <v>6</v>
      </c>
      <c r="D200" s="1">
        <v>114155</v>
      </c>
      <c r="E200" s="1" t="s">
        <v>62</v>
      </c>
      <c r="F200" s="1" t="s">
        <v>27</v>
      </c>
      <c r="G200" s="35" t="s">
        <v>76</v>
      </c>
      <c r="H200" s="3">
        <v>0.3</v>
      </c>
      <c r="I200" s="1">
        <f t="shared" si="23"/>
        <v>380516.66666666669</v>
      </c>
      <c r="J200" s="10">
        <f t="shared" si="24"/>
        <v>2.6280057816127193E-6</v>
      </c>
      <c r="K200" s="10">
        <f t="shared" si="25"/>
        <v>1.5768034689676315E-5</v>
      </c>
    </row>
    <row r="201" spans="1:11" ht="28" outlineLevel="1" x14ac:dyDescent="0.3">
      <c r="A201" s="101" t="s">
        <v>232</v>
      </c>
      <c r="B201" s="103" t="s">
        <v>8</v>
      </c>
      <c r="C201" s="1">
        <v>5</v>
      </c>
      <c r="D201" s="1">
        <v>22831</v>
      </c>
      <c r="E201" s="1" t="s">
        <v>20</v>
      </c>
      <c r="F201" s="1" t="s">
        <v>28</v>
      </c>
      <c r="G201" s="35" t="s">
        <v>230</v>
      </c>
      <c r="H201" s="3">
        <v>0.5</v>
      </c>
      <c r="I201" s="1">
        <f t="shared" si="23"/>
        <v>0</v>
      </c>
      <c r="J201" s="10">
        <f t="shared" si="24"/>
        <v>0</v>
      </c>
      <c r="K201" s="10">
        <f t="shared" si="25"/>
        <v>0</v>
      </c>
    </row>
    <row r="202" spans="1:11" outlineLevel="1" x14ac:dyDescent="0.3">
      <c r="A202" s="102"/>
      <c r="B202" s="104"/>
      <c r="C202" s="1">
        <v>5</v>
      </c>
      <c r="D202" s="1">
        <v>22831</v>
      </c>
      <c r="E202" s="1" t="s">
        <v>29</v>
      </c>
      <c r="F202" s="1" t="s">
        <v>28</v>
      </c>
      <c r="G202" s="1" t="s">
        <v>25</v>
      </c>
      <c r="H202" s="3">
        <v>0.5</v>
      </c>
      <c r="I202" s="1">
        <f t="shared" si="23"/>
        <v>0</v>
      </c>
      <c r="J202" s="10">
        <f t="shared" si="24"/>
        <v>0</v>
      </c>
      <c r="K202" s="10">
        <f t="shared" si="25"/>
        <v>0</v>
      </c>
    </row>
    <row r="203" spans="1:11" ht="28" outlineLevel="1" x14ac:dyDescent="0.3">
      <c r="A203" s="101" t="s">
        <v>231</v>
      </c>
      <c r="B203" s="103" t="s">
        <v>7</v>
      </c>
      <c r="C203" s="1">
        <v>2</v>
      </c>
      <c r="D203" s="38">
        <v>114155</v>
      </c>
      <c r="E203" s="38" t="s">
        <v>20</v>
      </c>
      <c r="F203" s="1" t="s">
        <v>28</v>
      </c>
      <c r="G203" s="35" t="s">
        <v>230</v>
      </c>
      <c r="H203" s="3">
        <v>0.7</v>
      </c>
      <c r="I203" s="1">
        <f t="shared" si="23"/>
        <v>0</v>
      </c>
      <c r="J203" s="10">
        <f t="shared" si="24"/>
        <v>0</v>
      </c>
      <c r="K203" s="10">
        <f t="shared" si="25"/>
        <v>0</v>
      </c>
    </row>
    <row r="204" spans="1:11" outlineLevel="1" x14ac:dyDescent="0.3">
      <c r="A204" s="102"/>
      <c r="B204" s="104"/>
      <c r="C204" s="1">
        <v>2</v>
      </c>
      <c r="D204" s="38">
        <v>114155</v>
      </c>
      <c r="E204" s="38" t="s">
        <v>62</v>
      </c>
      <c r="F204" s="1" t="s">
        <v>28</v>
      </c>
      <c r="G204" s="1" t="s">
        <v>25</v>
      </c>
      <c r="H204" s="3">
        <v>0.3</v>
      </c>
      <c r="I204" s="1">
        <f t="shared" si="23"/>
        <v>0</v>
      </c>
      <c r="J204" s="10">
        <f t="shared" si="24"/>
        <v>0</v>
      </c>
      <c r="K204" s="10">
        <f t="shared" si="25"/>
        <v>0</v>
      </c>
    </row>
    <row r="205" spans="1:11" outlineLevel="1" x14ac:dyDescent="0.3">
      <c r="A205" s="101" t="s">
        <v>233</v>
      </c>
      <c r="B205" s="103" t="s">
        <v>7</v>
      </c>
      <c r="C205" s="1">
        <v>4</v>
      </c>
      <c r="D205" s="38">
        <v>114155</v>
      </c>
      <c r="E205" s="1" t="s">
        <v>20</v>
      </c>
      <c r="F205" s="1" t="s">
        <v>28</v>
      </c>
      <c r="G205" s="1" t="s">
        <v>25</v>
      </c>
      <c r="H205" s="3">
        <v>0.7</v>
      </c>
      <c r="I205" s="1">
        <f t="shared" si="23"/>
        <v>0</v>
      </c>
      <c r="J205" s="10">
        <f t="shared" si="24"/>
        <v>0</v>
      </c>
      <c r="K205" s="10">
        <f t="shared" si="25"/>
        <v>0</v>
      </c>
    </row>
    <row r="206" spans="1:11" outlineLevel="1" x14ac:dyDescent="0.3">
      <c r="A206" s="102"/>
      <c r="B206" s="104"/>
      <c r="C206" s="1">
        <v>4</v>
      </c>
      <c r="D206" s="38">
        <v>114155</v>
      </c>
      <c r="E206" s="1" t="s">
        <v>62</v>
      </c>
      <c r="F206" s="1" t="s">
        <v>28</v>
      </c>
      <c r="G206" s="1" t="s">
        <v>25</v>
      </c>
      <c r="H206" s="3">
        <v>0.3</v>
      </c>
      <c r="I206" s="1">
        <f t="shared" si="23"/>
        <v>0</v>
      </c>
      <c r="J206" s="10">
        <f t="shared" si="24"/>
        <v>0</v>
      </c>
      <c r="K206" s="10">
        <f t="shared" si="25"/>
        <v>0</v>
      </c>
    </row>
    <row r="207" spans="1:11" ht="42" outlineLevel="1" x14ac:dyDescent="0.3">
      <c r="A207" s="101" t="s">
        <v>237</v>
      </c>
      <c r="B207" s="103" t="s">
        <v>7</v>
      </c>
      <c r="C207" s="1">
        <v>1</v>
      </c>
      <c r="D207" s="38">
        <v>114155</v>
      </c>
      <c r="E207" s="38" t="s">
        <v>20</v>
      </c>
      <c r="F207" s="1" t="s">
        <v>27</v>
      </c>
      <c r="G207" s="35" t="s">
        <v>79</v>
      </c>
      <c r="H207" s="3">
        <v>0.7</v>
      </c>
      <c r="I207" s="1">
        <f t="shared" si="23"/>
        <v>163078.57142857145</v>
      </c>
      <c r="J207" s="10">
        <f t="shared" si="24"/>
        <v>6.1320134904296781E-6</v>
      </c>
      <c r="K207" s="10">
        <f t="shared" si="25"/>
        <v>6.1320134904296781E-6</v>
      </c>
    </row>
    <row r="208" spans="1:11" outlineLevel="1" x14ac:dyDescent="0.3">
      <c r="A208" s="102"/>
      <c r="B208" s="104"/>
      <c r="C208" s="1">
        <v>1</v>
      </c>
      <c r="D208" s="38">
        <v>114155</v>
      </c>
      <c r="E208" s="38" t="s">
        <v>62</v>
      </c>
      <c r="F208" s="1" t="s">
        <v>28</v>
      </c>
      <c r="G208" s="1" t="s">
        <v>25</v>
      </c>
      <c r="H208" s="3">
        <v>0.3</v>
      </c>
      <c r="I208" s="1">
        <f t="shared" si="23"/>
        <v>0</v>
      </c>
      <c r="J208" s="10">
        <f t="shared" si="24"/>
        <v>0</v>
      </c>
      <c r="K208" s="10">
        <f t="shared" si="25"/>
        <v>0</v>
      </c>
    </row>
    <row r="209" spans="1:11" ht="56" outlineLevel="1" x14ac:dyDescent="0.3">
      <c r="A209" s="101" t="s">
        <v>236</v>
      </c>
      <c r="B209" s="103" t="s">
        <v>7</v>
      </c>
      <c r="C209" s="1">
        <v>1</v>
      </c>
      <c r="D209" s="38">
        <v>114155</v>
      </c>
      <c r="E209" s="38" t="s">
        <v>20</v>
      </c>
      <c r="F209" s="1" t="s">
        <v>27</v>
      </c>
      <c r="G209" s="35" t="s">
        <v>80</v>
      </c>
      <c r="H209" s="3">
        <v>0.7</v>
      </c>
      <c r="I209" s="1">
        <f t="shared" si="23"/>
        <v>163078.57142857145</v>
      </c>
      <c r="J209" s="10">
        <f t="shared" si="24"/>
        <v>6.1320134904296781E-6</v>
      </c>
      <c r="K209" s="10">
        <f t="shared" si="25"/>
        <v>6.1320134904296781E-6</v>
      </c>
    </row>
    <row r="210" spans="1:11" outlineLevel="1" x14ac:dyDescent="0.3">
      <c r="A210" s="102"/>
      <c r="B210" s="104"/>
      <c r="C210" s="1">
        <v>1</v>
      </c>
      <c r="D210" s="38">
        <v>114155</v>
      </c>
      <c r="E210" s="38" t="s">
        <v>62</v>
      </c>
      <c r="F210" s="1" t="s">
        <v>28</v>
      </c>
      <c r="G210" s="1" t="s">
        <v>25</v>
      </c>
      <c r="H210" s="3">
        <v>0.3</v>
      </c>
      <c r="I210" s="1">
        <f t="shared" si="23"/>
        <v>0</v>
      </c>
      <c r="J210" s="10">
        <f t="shared" si="24"/>
        <v>0</v>
      </c>
      <c r="K210" s="10">
        <f t="shared" si="25"/>
        <v>0</v>
      </c>
    </row>
    <row r="211" spans="1:11" outlineLevel="1" x14ac:dyDescent="0.3">
      <c r="A211" s="101" t="s">
        <v>238</v>
      </c>
      <c r="B211" s="103" t="s">
        <v>7</v>
      </c>
      <c r="C211" s="1">
        <v>1</v>
      </c>
      <c r="D211" s="38">
        <v>114155</v>
      </c>
      <c r="E211" s="1" t="s">
        <v>20</v>
      </c>
      <c r="F211" s="1" t="s">
        <v>28</v>
      </c>
      <c r="G211" s="1" t="s">
        <v>25</v>
      </c>
      <c r="H211" s="3">
        <v>0.7</v>
      </c>
      <c r="I211" s="1">
        <f t="shared" si="23"/>
        <v>0</v>
      </c>
      <c r="J211" s="10">
        <f t="shared" si="24"/>
        <v>0</v>
      </c>
      <c r="K211" s="10">
        <f t="shared" si="25"/>
        <v>0</v>
      </c>
    </row>
    <row r="212" spans="1:11" ht="42" outlineLevel="1" x14ac:dyDescent="0.3">
      <c r="A212" s="102"/>
      <c r="B212" s="104"/>
      <c r="C212" s="1">
        <v>1</v>
      </c>
      <c r="D212" s="38">
        <v>114155</v>
      </c>
      <c r="E212" s="1" t="s">
        <v>62</v>
      </c>
      <c r="F212" s="1" t="s">
        <v>27</v>
      </c>
      <c r="G212" s="35" t="s">
        <v>81</v>
      </c>
      <c r="H212" s="3">
        <v>0.3</v>
      </c>
      <c r="I212" s="1">
        <f t="shared" si="23"/>
        <v>380516.66666666669</v>
      </c>
      <c r="J212" s="10">
        <f t="shared" si="24"/>
        <v>2.6280057816127193E-6</v>
      </c>
      <c r="K212" s="10">
        <f t="shared" si="25"/>
        <v>2.6280057816127193E-6</v>
      </c>
    </row>
    <row r="213" spans="1:11" ht="28" outlineLevel="1" x14ac:dyDescent="0.3">
      <c r="A213" s="11" t="s">
        <v>235</v>
      </c>
      <c r="B213" s="1" t="s">
        <v>82</v>
      </c>
      <c r="C213" s="1">
        <v>1</v>
      </c>
      <c r="D213" s="1">
        <v>19344.88</v>
      </c>
      <c r="E213" s="1" t="s">
        <v>73</v>
      </c>
      <c r="F213" s="1" t="s">
        <v>27</v>
      </c>
      <c r="G213" s="35" t="s">
        <v>83</v>
      </c>
      <c r="H213" s="3">
        <v>1</v>
      </c>
      <c r="I213" s="1">
        <f t="shared" si="23"/>
        <v>19344.88</v>
      </c>
      <c r="J213" s="10">
        <f t="shared" si="24"/>
        <v>5.1693264574399012E-5</v>
      </c>
      <c r="K213" s="10">
        <f t="shared" si="25"/>
        <v>5.1693264574399012E-5</v>
      </c>
    </row>
    <row r="214" spans="1:11" x14ac:dyDescent="0.3">
      <c r="A214" s="145"/>
      <c r="B214" s="146"/>
      <c r="C214" s="146"/>
      <c r="D214" s="146"/>
      <c r="E214" s="146"/>
      <c r="F214" s="146"/>
      <c r="G214" s="146"/>
      <c r="H214" s="146"/>
      <c r="I214" s="146"/>
      <c r="J214" s="146"/>
      <c r="K214" s="147"/>
    </row>
    <row r="215" spans="1:11" ht="28" x14ac:dyDescent="0.3">
      <c r="A215" s="101" t="s">
        <v>239</v>
      </c>
      <c r="B215" s="139" t="s">
        <v>9</v>
      </c>
      <c r="C215" s="35">
        <v>2</v>
      </c>
      <c r="D215" s="35">
        <v>114155</v>
      </c>
      <c r="E215" s="35" t="s">
        <v>20</v>
      </c>
      <c r="F215" s="35" t="s">
        <v>27</v>
      </c>
      <c r="G215" s="35" t="s">
        <v>84</v>
      </c>
      <c r="H215" s="44">
        <v>0.5</v>
      </c>
      <c r="I215" s="35">
        <f t="shared" ref="I215:I232" si="26">IF(F215="yes",D215/H215,0)</f>
        <v>228310</v>
      </c>
      <c r="J215" s="45">
        <f t="shared" ref="J215:J232" si="27">IF(I215= 0,0,1/I215)</f>
        <v>4.3800096360211989E-6</v>
      </c>
      <c r="K215" s="45">
        <f t="shared" ref="K215:K232" si="28">J215*C215</f>
        <v>8.7600192720423978E-6</v>
      </c>
    </row>
    <row r="216" spans="1:11" x14ac:dyDescent="0.3">
      <c r="A216" s="102"/>
      <c r="B216" s="140"/>
      <c r="C216" s="35">
        <v>2</v>
      </c>
      <c r="D216" s="35">
        <v>114155</v>
      </c>
      <c r="E216" s="35" t="s">
        <v>29</v>
      </c>
      <c r="F216" s="35" t="s">
        <v>28</v>
      </c>
      <c r="G216" s="35" t="s">
        <v>25</v>
      </c>
      <c r="H216" s="44">
        <v>0.5</v>
      </c>
      <c r="I216" s="35">
        <f t="shared" si="26"/>
        <v>0</v>
      </c>
      <c r="J216" s="45">
        <f t="shared" si="27"/>
        <v>0</v>
      </c>
      <c r="K216" s="45">
        <f t="shared" si="28"/>
        <v>0</v>
      </c>
    </row>
    <row r="217" spans="1:11" x14ac:dyDescent="0.3">
      <c r="A217" s="101" t="s">
        <v>242</v>
      </c>
      <c r="B217" s="139" t="s">
        <v>8</v>
      </c>
      <c r="C217" s="35">
        <v>1</v>
      </c>
      <c r="D217" s="35">
        <v>22831</v>
      </c>
      <c r="E217" s="35" t="s">
        <v>20</v>
      </c>
      <c r="F217" s="35" t="s">
        <v>28</v>
      </c>
      <c r="G217" s="35" t="s">
        <v>25</v>
      </c>
      <c r="H217" s="44">
        <v>0.5</v>
      </c>
      <c r="I217" s="35">
        <f t="shared" si="26"/>
        <v>0</v>
      </c>
      <c r="J217" s="45">
        <f t="shared" si="27"/>
        <v>0</v>
      </c>
      <c r="K217" s="45">
        <f t="shared" si="28"/>
        <v>0</v>
      </c>
    </row>
    <row r="218" spans="1:11" ht="28" x14ac:dyDescent="0.3">
      <c r="A218" s="102"/>
      <c r="B218" s="140"/>
      <c r="C218" s="35">
        <v>1</v>
      </c>
      <c r="D218" s="35">
        <v>22831</v>
      </c>
      <c r="E218" s="35" t="s">
        <v>29</v>
      </c>
      <c r="F218" s="35" t="s">
        <v>27</v>
      </c>
      <c r="G218" s="35" t="s">
        <v>137</v>
      </c>
      <c r="H218" s="44">
        <v>0.5</v>
      </c>
      <c r="I218" s="35">
        <f t="shared" si="26"/>
        <v>45662</v>
      </c>
      <c r="J218" s="45">
        <f t="shared" si="27"/>
        <v>2.1900048180105996E-5</v>
      </c>
      <c r="K218" s="45">
        <f t="shared" si="28"/>
        <v>2.1900048180105996E-5</v>
      </c>
    </row>
    <row r="219" spans="1:11" x14ac:dyDescent="0.3">
      <c r="A219" s="101" t="s">
        <v>243</v>
      </c>
      <c r="B219" s="139" t="s">
        <v>7</v>
      </c>
      <c r="C219" s="35">
        <v>1</v>
      </c>
      <c r="D219" s="35">
        <v>114155</v>
      </c>
      <c r="E219" s="35" t="s">
        <v>20</v>
      </c>
      <c r="F219" s="35" t="s">
        <v>28</v>
      </c>
      <c r="G219" s="35" t="s">
        <v>25</v>
      </c>
      <c r="H219" s="44">
        <v>0.7</v>
      </c>
      <c r="I219" s="35">
        <f t="shared" si="26"/>
        <v>0</v>
      </c>
      <c r="J219" s="45">
        <f t="shared" si="27"/>
        <v>0</v>
      </c>
      <c r="K219" s="45">
        <f t="shared" si="28"/>
        <v>0</v>
      </c>
    </row>
    <row r="220" spans="1:11" x14ac:dyDescent="0.3">
      <c r="A220" s="102"/>
      <c r="B220" s="140"/>
      <c r="C220" s="35">
        <v>1</v>
      </c>
      <c r="D220" s="35">
        <v>114155</v>
      </c>
      <c r="E220" s="35" t="s">
        <v>62</v>
      </c>
      <c r="F220" s="35" t="s">
        <v>28</v>
      </c>
      <c r="G220" s="35" t="s">
        <v>25</v>
      </c>
      <c r="H220" s="44">
        <v>0.3</v>
      </c>
      <c r="I220" s="35">
        <f t="shared" si="26"/>
        <v>0</v>
      </c>
      <c r="J220" s="45">
        <f t="shared" si="27"/>
        <v>0</v>
      </c>
      <c r="K220" s="45">
        <f t="shared" si="28"/>
        <v>0</v>
      </c>
    </row>
    <row r="221" spans="1:11" ht="28" x14ac:dyDescent="0.3">
      <c r="A221" s="101" t="s">
        <v>244</v>
      </c>
      <c r="B221" s="139" t="s">
        <v>7</v>
      </c>
      <c r="C221" s="35">
        <v>1</v>
      </c>
      <c r="D221" s="35">
        <v>114155</v>
      </c>
      <c r="E221" s="35" t="s">
        <v>20</v>
      </c>
      <c r="F221" s="35" t="s">
        <v>28</v>
      </c>
      <c r="G221" s="35" t="s">
        <v>133</v>
      </c>
      <c r="H221" s="44">
        <v>0.7</v>
      </c>
      <c r="I221" s="35">
        <f t="shared" ref="I221:I222" si="29">IF(F221="yes",D221/H221,0)</f>
        <v>0</v>
      </c>
      <c r="J221" s="45">
        <f t="shared" ref="J221:J222" si="30">IF(I221= 0,0,1/I221)</f>
        <v>0</v>
      </c>
      <c r="K221" s="45">
        <f t="shared" ref="K221:K222" si="31">J221*C221</f>
        <v>0</v>
      </c>
    </row>
    <row r="222" spans="1:11" x14ac:dyDescent="0.3">
      <c r="A222" s="102"/>
      <c r="B222" s="140"/>
      <c r="C222" s="35">
        <v>1</v>
      </c>
      <c r="D222" s="35">
        <v>114155</v>
      </c>
      <c r="E222" s="35" t="s">
        <v>62</v>
      </c>
      <c r="F222" s="35" t="s">
        <v>28</v>
      </c>
      <c r="G222" s="35" t="s">
        <v>25</v>
      </c>
      <c r="H222" s="44">
        <v>0.3</v>
      </c>
      <c r="I222" s="35">
        <f t="shared" si="29"/>
        <v>0</v>
      </c>
      <c r="J222" s="45">
        <f t="shared" si="30"/>
        <v>0</v>
      </c>
      <c r="K222" s="45">
        <f t="shared" si="31"/>
        <v>0</v>
      </c>
    </row>
    <row r="223" spans="1:11" ht="28" x14ac:dyDescent="0.3">
      <c r="A223" s="101" t="s">
        <v>240</v>
      </c>
      <c r="B223" s="139" t="s">
        <v>37</v>
      </c>
      <c r="C223" s="35">
        <v>1</v>
      </c>
      <c r="D223" s="35">
        <v>1903</v>
      </c>
      <c r="E223" s="35" t="s">
        <v>38</v>
      </c>
      <c r="F223" s="35" t="s">
        <v>27</v>
      </c>
      <c r="G223" s="35" t="s">
        <v>134</v>
      </c>
      <c r="H223" s="46">
        <v>0.16700000000000001</v>
      </c>
      <c r="I223" s="35">
        <f t="shared" si="26"/>
        <v>11395.209580838322</v>
      </c>
      <c r="J223" s="45">
        <f t="shared" si="27"/>
        <v>8.7756174461376787E-5</v>
      </c>
      <c r="K223" s="45">
        <f t="shared" si="28"/>
        <v>8.7756174461376787E-5</v>
      </c>
    </row>
    <row r="224" spans="1:11" ht="28" x14ac:dyDescent="0.3">
      <c r="A224" s="115"/>
      <c r="B224" s="144"/>
      <c r="C224" s="35">
        <v>1</v>
      </c>
      <c r="D224" s="35">
        <v>1903</v>
      </c>
      <c r="E224" s="35" t="s">
        <v>39</v>
      </c>
      <c r="F224" s="35" t="s">
        <v>27</v>
      </c>
      <c r="G224" s="35" t="s">
        <v>135</v>
      </c>
      <c r="H224" s="46">
        <v>0.16700000000000001</v>
      </c>
      <c r="I224" s="35">
        <f t="shared" si="26"/>
        <v>11395.209580838322</v>
      </c>
      <c r="J224" s="45">
        <f t="shared" si="27"/>
        <v>8.7756174461376787E-5</v>
      </c>
      <c r="K224" s="45">
        <f t="shared" si="28"/>
        <v>8.7756174461376787E-5</v>
      </c>
    </row>
    <row r="225" spans="1:11" ht="28" x14ac:dyDescent="0.3">
      <c r="A225" s="115"/>
      <c r="B225" s="144"/>
      <c r="C225" s="35">
        <v>1</v>
      </c>
      <c r="D225" s="35">
        <v>1903</v>
      </c>
      <c r="E225" s="35" t="s">
        <v>40</v>
      </c>
      <c r="F225" s="35" t="s">
        <v>27</v>
      </c>
      <c r="G225" s="35" t="s">
        <v>134</v>
      </c>
      <c r="H225" s="46">
        <v>0.16700000000000001</v>
      </c>
      <c r="I225" s="35">
        <f t="shared" si="26"/>
        <v>11395.209580838322</v>
      </c>
      <c r="J225" s="45">
        <f t="shared" si="27"/>
        <v>8.7756174461376787E-5</v>
      </c>
      <c r="K225" s="45">
        <f t="shared" si="28"/>
        <v>8.7756174461376787E-5</v>
      </c>
    </row>
    <row r="226" spans="1:11" ht="28" x14ac:dyDescent="0.3">
      <c r="A226" s="115"/>
      <c r="B226" s="144"/>
      <c r="C226" s="35">
        <v>1</v>
      </c>
      <c r="D226" s="35">
        <v>1903</v>
      </c>
      <c r="E226" s="35" t="s">
        <v>41</v>
      </c>
      <c r="F226" s="35" t="s">
        <v>28</v>
      </c>
      <c r="G226" s="35" t="s">
        <v>87</v>
      </c>
      <c r="H226" s="46">
        <v>0.16700000000000001</v>
      </c>
      <c r="I226" s="35">
        <f t="shared" si="26"/>
        <v>0</v>
      </c>
      <c r="J226" s="45">
        <f t="shared" si="27"/>
        <v>0</v>
      </c>
      <c r="K226" s="45">
        <f t="shared" si="28"/>
        <v>0</v>
      </c>
    </row>
    <row r="227" spans="1:11" ht="28" x14ac:dyDescent="0.3">
      <c r="A227" s="115"/>
      <c r="B227" s="144"/>
      <c r="C227" s="35">
        <v>1</v>
      </c>
      <c r="D227" s="35">
        <v>1903</v>
      </c>
      <c r="E227" s="35" t="s">
        <v>42</v>
      </c>
      <c r="F227" s="35" t="s">
        <v>27</v>
      </c>
      <c r="G227" s="35" t="s">
        <v>134</v>
      </c>
      <c r="H227" s="46">
        <v>0.16700000000000001</v>
      </c>
      <c r="I227" s="35">
        <f t="shared" si="26"/>
        <v>11395.209580838322</v>
      </c>
      <c r="J227" s="45">
        <f t="shared" si="27"/>
        <v>8.7756174461376787E-5</v>
      </c>
      <c r="K227" s="45">
        <f t="shared" si="28"/>
        <v>8.7756174461376787E-5</v>
      </c>
    </row>
    <row r="228" spans="1:11" ht="28" x14ac:dyDescent="0.3">
      <c r="A228" s="102"/>
      <c r="B228" s="140"/>
      <c r="C228" s="35">
        <v>1</v>
      </c>
      <c r="D228" s="35">
        <v>1903</v>
      </c>
      <c r="E228" s="35" t="s">
        <v>43</v>
      </c>
      <c r="F228" s="35" t="s">
        <v>27</v>
      </c>
      <c r="G228" s="35" t="s">
        <v>133</v>
      </c>
      <c r="H228" s="46">
        <v>0.16700000000000001</v>
      </c>
      <c r="I228" s="35">
        <f t="shared" si="26"/>
        <v>11395.209580838322</v>
      </c>
      <c r="J228" s="45">
        <f t="shared" si="27"/>
        <v>8.7756174461376787E-5</v>
      </c>
      <c r="K228" s="45">
        <f t="shared" si="28"/>
        <v>8.7756174461376787E-5</v>
      </c>
    </row>
    <row r="229" spans="1:11" x14ac:dyDescent="0.3">
      <c r="A229" s="101" t="s">
        <v>241</v>
      </c>
      <c r="B229" s="139" t="s">
        <v>132</v>
      </c>
      <c r="C229" s="35">
        <v>1</v>
      </c>
      <c r="D229" s="35">
        <v>114155</v>
      </c>
      <c r="E229" s="35" t="s">
        <v>20</v>
      </c>
      <c r="F229" s="35" t="s">
        <v>28</v>
      </c>
      <c r="G229" s="35" t="s">
        <v>25</v>
      </c>
      <c r="H229" s="44">
        <v>0.5</v>
      </c>
      <c r="I229" s="35">
        <f t="shared" si="26"/>
        <v>0</v>
      </c>
      <c r="J229" s="45">
        <f t="shared" si="27"/>
        <v>0</v>
      </c>
      <c r="K229" s="45">
        <f t="shared" si="28"/>
        <v>0</v>
      </c>
    </row>
    <row r="230" spans="1:11" ht="28" x14ac:dyDescent="0.3">
      <c r="A230" s="102"/>
      <c r="B230" s="140"/>
      <c r="C230" s="35">
        <v>1</v>
      </c>
      <c r="D230" s="35">
        <v>114155</v>
      </c>
      <c r="E230" s="35" t="s">
        <v>29</v>
      </c>
      <c r="F230" s="35" t="s">
        <v>27</v>
      </c>
      <c r="G230" s="35" t="s">
        <v>136</v>
      </c>
      <c r="H230" s="44">
        <v>0.5</v>
      </c>
      <c r="I230" s="35">
        <f t="shared" si="26"/>
        <v>228310</v>
      </c>
      <c r="J230" s="45">
        <f t="shared" si="27"/>
        <v>4.3800096360211989E-6</v>
      </c>
      <c r="K230" s="45">
        <f t="shared" si="28"/>
        <v>4.3800096360211989E-6</v>
      </c>
    </row>
    <row r="231" spans="1:11" x14ac:dyDescent="0.3">
      <c r="A231" s="101" t="s">
        <v>131</v>
      </c>
      <c r="B231" s="103" t="s">
        <v>89</v>
      </c>
      <c r="C231" s="1">
        <v>1</v>
      </c>
      <c r="D231" s="1">
        <v>978080</v>
      </c>
      <c r="E231" s="1" t="s">
        <v>29</v>
      </c>
      <c r="F231" s="1" t="s">
        <v>27</v>
      </c>
      <c r="G231" s="1" t="s">
        <v>90</v>
      </c>
      <c r="H231" s="3">
        <v>0.5</v>
      </c>
      <c r="I231" s="1">
        <f t="shared" si="26"/>
        <v>1956160</v>
      </c>
      <c r="J231" s="10">
        <f t="shared" si="27"/>
        <v>5.1120562735154583E-7</v>
      </c>
      <c r="K231" s="10">
        <f t="shared" si="28"/>
        <v>5.1120562735154583E-7</v>
      </c>
    </row>
    <row r="232" spans="1:11" x14ac:dyDescent="0.3">
      <c r="A232" s="102"/>
      <c r="B232" s="104"/>
      <c r="C232" s="1">
        <v>1</v>
      </c>
      <c r="D232" s="1">
        <v>978080</v>
      </c>
      <c r="E232" s="1" t="s">
        <v>20</v>
      </c>
      <c r="F232" s="1" t="s">
        <v>28</v>
      </c>
      <c r="G232" s="1" t="s">
        <v>91</v>
      </c>
      <c r="H232" s="3">
        <v>0.5</v>
      </c>
      <c r="I232" s="1">
        <f t="shared" si="26"/>
        <v>0</v>
      </c>
      <c r="J232" s="10">
        <f t="shared" si="27"/>
        <v>0</v>
      </c>
      <c r="K232" s="10">
        <f t="shared" si="28"/>
        <v>0</v>
      </c>
    </row>
    <row r="233" spans="1:11" x14ac:dyDescent="0.3">
      <c r="A233" s="11"/>
      <c r="B233" s="1"/>
      <c r="C233" s="1"/>
      <c r="D233" s="1"/>
      <c r="E233" s="1"/>
      <c r="F233" s="1"/>
      <c r="G233" s="1"/>
      <c r="H233" s="3"/>
      <c r="I233" s="3"/>
      <c r="J233" s="3"/>
      <c r="K233" s="12">
        <f>1/SUM(K135:K232)</f>
        <v>16.812180429198317</v>
      </c>
    </row>
    <row r="237" spans="1:11" x14ac:dyDescent="0.3">
      <c r="B237" s="2" t="s">
        <v>0</v>
      </c>
      <c r="C237" s="23">
        <f>1/((1/K8)+(1/K52)+(1/K111))</f>
        <v>795.54026513249175</v>
      </c>
      <c r="D237" s="2">
        <f>IF(C237&gt;100,100,C237)</f>
        <v>100</v>
      </c>
    </row>
    <row r="238" spans="1:11" x14ac:dyDescent="0.3">
      <c r="B238" s="2" t="s">
        <v>17</v>
      </c>
      <c r="C238" s="2">
        <f>K233</f>
        <v>16.812180429198317</v>
      </c>
      <c r="D238" s="2">
        <f>IF(C238&gt;100,100,C238)</f>
        <v>16.812180429198317</v>
      </c>
    </row>
    <row r="239" spans="1:11" x14ac:dyDescent="0.3">
      <c r="B239" s="2" t="s">
        <v>18</v>
      </c>
      <c r="C239" s="2">
        <f>2*(D237+D238-1/(1/D237+1/D238))/3</f>
        <v>68.279794166130003</v>
      </c>
      <c r="D239" s="2"/>
    </row>
    <row r="240" spans="1:11" x14ac:dyDescent="0.3">
      <c r="B240" t="s">
        <v>96</v>
      </c>
      <c r="C240">
        <f>(N8+N52+N57)/(L8+L52+L57)</f>
        <v>0.79255600880864452</v>
      </c>
    </row>
  </sheetData>
  <mergeCells count="171">
    <mergeCell ref="A229:A230"/>
    <mergeCell ref="B229:B230"/>
    <mergeCell ref="A231:A232"/>
    <mergeCell ref="B231:B232"/>
    <mergeCell ref="A217:A218"/>
    <mergeCell ref="B217:B218"/>
    <mergeCell ref="A219:A220"/>
    <mergeCell ref="B219:B220"/>
    <mergeCell ref="A223:A228"/>
    <mergeCell ref="B223:B228"/>
    <mergeCell ref="A221:A222"/>
    <mergeCell ref="B221:B222"/>
    <mergeCell ref="A215:A216"/>
    <mergeCell ref="B215:B216"/>
    <mergeCell ref="A194:A195"/>
    <mergeCell ref="B194:B195"/>
    <mergeCell ref="A196:A197"/>
    <mergeCell ref="B196:B197"/>
    <mergeCell ref="A199:A200"/>
    <mergeCell ref="B199:B200"/>
    <mergeCell ref="A201:A202"/>
    <mergeCell ref="B201:B202"/>
    <mergeCell ref="A203:A204"/>
    <mergeCell ref="B203:B204"/>
    <mergeCell ref="A205:A206"/>
    <mergeCell ref="B145:B146"/>
    <mergeCell ref="B190:B191"/>
    <mergeCell ref="A143:A144"/>
    <mergeCell ref="B143:B144"/>
    <mergeCell ref="B155:B160"/>
    <mergeCell ref="A161:A162"/>
    <mergeCell ref="B161:B162"/>
    <mergeCell ref="A163:A164"/>
    <mergeCell ref="A214:K214"/>
    <mergeCell ref="A167:K167"/>
    <mergeCell ref="A147:A152"/>
    <mergeCell ref="B147:B152"/>
    <mergeCell ref="B207:B208"/>
    <mergeCell ref="B188:B189"/>
    <mergeCell ref="A190:A191"/>
    <mergeCell ref="A176:A177"/>
    <mergeCell ref="B176:B177"/>
    <mergeCell ref="A211:A212"/>
    <mergeCell ref="B211:B212"/>
    <mergeCell ref="A168:A169"/>
    <mergeCell ref="B168:B169"/>
    <mergeCell ref="A170:A171"/>
    <mergeCell ref="B170:B171"/>
    <mergeCell ref="A172:A173"/>
    <mergeCell ref="A14:A15"/>
    <mergeCell ref="B14:B15"/>
    <mergeCell ref="A16:A17"/>
    <mergeCell ref="B16:B17"/>
    <mergeCell ref="A114:A115"/>
    <mergeCell ref="B114:B115"/>
    <mergeCell ref="A134:K134"/>
    <mergeCell ref="A128:A133"/>
    <mergeCell ref="B128:B133"/>
    <mergeCell ref="A116:A117"/>
    <mergeCell ref="B116:B117"/>
    <mergeCell ref="A122:A127"/>
    <mergeCell ref="B122:B127"/>
    <mergeCell ref="A18:A19"/>
    <mergeCell ref="B18:B19"/>
    <mergeCell ref="A105:A106"/>
    <mergeCell ref="B105:B106"/>
    <mergeCell ref="A75:A76"/>
    <mergeCell ref="B75:B76"/>
    <mergeCell ref="A77:A78"/>
    <mergeCell ref="B77:B78"/>
    <mergeCell ref="A79:A84"/>
    <mergeCell ref="B79:B84"/>
    <mergeCell ref="A85:A90"/>
    <mergeCell ref="A6:A7"/>
    <mergeCell ref="B6:B7"/>
    <mergeCell ref="A9:K9"/>
    <mergeCell ref="A1:K1"/>
    <mergeCell ref="A2:K2"/>
    <mergeCell ref="A4:A5"/>
    <mergeCell ref="B4:B5"/>
    <mergeCell ref="A12:A13"/>
    <mergeCell ref="B12:B13"/>
    <mergeCell ref="B85:B90"/>
    <mergeCell ref="A55:A56"/>
    <mergeCell ref="B55:B56"/>
    <mergeCell ref="A57:A62"/>
    <mergeCell ref="B57:B62"/>
    <mergeCell ref="A40:A45"/>
    <mergeCell ref="B40:B45"/>
    <mergeCell ref="A50:A51"/>
    <mergeCell ref="B50:B51"/>
    <mergeCell ref="B71:B72"/>
    <mergeCell ref="A73:A74"/>
    <mergeCell ref="B73:B74"/>
    <mergeCell ref="A20:A21"/>
    <mergeCell ref="B20:B21"/>
    <mergeCell ref="B163:B164"/>
    <mergeCell ref="A165:A166"/>
    <mergeCell ref="B165:B166"/>
    <mergeCell ref="A118:A119"/>
    <mergeCell ref="B118:B119"/>
    <mergeCell ref="A120:A121"/>
    <mergeCell ref="B120:B121"/>
    <mergeCell ref="A155:A160"/>
    <mergeCell ref="A153:A154"/>
    <mergeCell ref="B153:B154"/>
    <mergeCell ref="A135:A136"/>
    <mergeCell ref="B135:B136"/>
    <mergeCell ref="A137:A138"/>
    <mergeCell ref="B137:B138"/>
    <mergeCell ref="A139:A140"/>
    <mergeCell ref="B139:B140"/>
    <mergeCell ref="A141:A142"/>
    <mergeCell ref="B141:B142"/>
    <mergeCell ref="A145:A146"/>
    <mergeCell ref="A69:A70"/>
    <mergeCell ref="B69:B70"/>
    <mergeCell ref="A71:A72"/>
    <mergeCell ref="A112:K112"/>
    <mergeCell ref="A107:A108"/>
    <mergeCell ref="B107:B108"/>
    <mergeCell ref="A109:A110"/>
    <mergeCell ref="B109:B110"/>
    <mergeCell ref="A91:A96"/>
    <mergeCell ref="B91:B96"/>
    <mergeCell ref="A97:A98"/>
    <mergeCell ref="B97:B98"/>
    <mergeCell ref="A99:A100"/>
    <mergeCell ref="B99:B100"/>
    <mergeCell ref="A101:A102"/>
    <mergeCell ref="B101:B102"/>
    <mergeCell ref="A103:A104"/>
    <mergeCell ref="B103:B104"/>
    <mergeCell ref="A22:A23"/>
    <mergeCell ref="B22:B23"/>
    <mergeCell ref="A30:A31"/>
    <mergeCell ref="B30:B31"/>
    <mergeCell ref="A32:A33"/>
    <mergeCell ref="B32:B33"/>
    <mergeCell ref="A34:A39"/>
    <mergeCell ref="B34:B39"/>
    <mergeCell ref="A63:A68"/>
    <mergeCell ref="B63:B68"/>
    <mergeCell ref="A53:K53"/>
    <mergeCell ref="A28:A29"/>
    <mergeCell ref="B28:B29"/>
    <mergeCell ref="A24:A25"/>
    <mergeCell ref="B24:B25"/>
    <mergeCell ref="A26:A27"/>
    <mergeCell ref="B26:B27"/>
    <mergeCell ref="A48:A49"/>
    <mergeCell ref="B48:B49"/>
    <mergeCell ref="A46:A47"/>
    <mergeCell ref="B46:B47"/>
    <mergeCell ref="A186:A187"/>
    <mergeCell ref="B186:B187"/>
    <mergeCell ref="A188:A189"/>
    <mergeCell ref="A192:K192"/>
    <mergeCell ref="B205:B206"/>
    <mergeCell ref="A207:A208"/>
    <mergeCell ref="A209:A210"/>
    <mergeCell ref="B209:B210"/>
    <mergeCell ref="B172:B173"/>
    <mergeCell ref="A174:A175"/>
    <mergeCell ref="B174:B175"/>
    <mergeCell ref="A178:A179"/>
    <mergeCell ref="B178:B179"/>
    <mergeCell ref="A180:A181"/>
    <mergeCell ref="B180:B181"/>
    <mergeCell ref="A182:A183"/>
    <mergeCell ref="B182:B18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封面</vt:lpstr>
      <vt:lpstr>修订历史</vt:lpstr>
      <vt:lpstr>OV</vt:lpstr>
      <vt:lpstr>OC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Kaman Qiu</cp:lastModifiedBy>
  <dcterms:created xsi:type="dcterms:W3CDTF">2015-06-05T18:17:20Z</dcterms:created>
  <dcterms:modified xsi:type="dcterms:W3CDTF">2026-04-28T05:20:13Z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2024-08-23T06:00:44Z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f6056433-5954-4f7a-ace8-adaf23684e24</vt:lpwstr>
  </property>
  <property fmtid="{D5CDD505-2E9C-101B-9397-08002B2CF9AE}" pid="8" name="MSIP_Label_d3d538fd-7cd2-4b8b-bd42-f6ee8cc1e568_ContentBits">
    <vt:lpwstr>0</vt:lpwstr>
  </property>
</Properties>
</file>